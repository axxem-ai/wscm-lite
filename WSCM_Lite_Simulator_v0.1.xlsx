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emmanuelgonzalez/Documents/WSFQ/WSCM-Lite/"/>
    </mc:Choice>
  </mc:AlternateContent>
  <xr:revisionPtr revIDLastSave="0" documentId="13_ncr:1_{283B60E5-2307-5349-9E59-74EDF7A5BB7F}" xr6:coauthVersionLast="47" xr6:coauthVersionMax="47" xr10:uidLastSave="{00000000-0000-0000-0000-000000000000}"/>
  <bookViews>
    <workbookView xWindow="-5320" yWindow="-21100" windowWidth="38400" windowHeight="21100" tabRatio="500" xr2:uid="{00000000-000D-0000-FFFF-FFFF00000000}"/>
  </bookViews>
  <sheets>
    <sheet name="Instructions" sheetId="4" r:id="rId1"/>
    <sheet name="Config" sheetId="1" r:id="rId2"/>
    <sheet name="Signal Tracker" sheetId="2" r:id="rId3"/>
    <sheet name="SSI Chart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" i="3" l="1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AC33" i="2"/>
  <c r="U33" i="2"/>
  <c r="T33" i="2"/>
  <c r="S33" i="2"/>
  <c r="W33" i="2" s="1"/>
  <c r="R33" i="2"/>
  <c r="V33" i="2" s="1"/>
  <c r="C33" i="2"/>
  <c r="D33" i="2" s="1"/>
  <c r="AC32" i="2"/>
  <c r="U32" i="2"/>
  <c r="T32" i="2"/>
  <c r="S32" i="2"/>
  <c r="W32" i="2" s="1"/>
  <c r="R32" i="2"/>
  <c r="V32" i="2" s="1"/>
  <c r="C32" i="2"/>
  <c r="D32" i="2" s="1"/>
  <c r="AC31" i="2"/>
  <c r="U31" i="2"/>
  <c r="T31" i="2"/>
  <c r="S31" i="2"/>
  <c r="W31" i="2" s="1"/>
  <c r="R31" i="2"/>
  <c r="V31" i="2" s="1"/>
  <c r="C31" i="2"/>
  <c r="D31" i="2" s="1"/>
  <c r="AC30" i="2"/>
  <c r="U30" i="2"/>
  <c r="T30" i="2"/>
  <c r="S30" i="2"/>
  <c r="W30" i="2" s="1"/>
  <c r="R30" i="2"/>
  <c r="V30" i="2" s="1"/>
  <c r="D30" i="2"/>
  <c r="F30" i="2" s="1"/>
  <c r="C30" i="2"/>
  <c r="T29" i="2"/>
  <c r="S29" i="2"/>
  <c r="R29" i="2"/>
  <c r="C29" i="2"/>
  <c r="D29" i="2" s="1"/>
  <c r="T28" i="2"/>
  <c r="S28" i="2"/>
  <c r="R28" i="2"/>
  <c r="C28" i="2"/>
  <c r="D28" i="2" s="1"/>
  <c r="T27" i="2"/>
  <c r="S27" i="2"/>
  <c r="R27" i="2"/>
  <c r="C27" i="2"/>
  <c r="T26" i="2"/>
  <c r="S26" i="2"/>
  <c r="R26" i="2"/>
  <c r="C26" i="2"/>
  <c r="D26" i="2" s="1"/>
  <c r="T25" i="2"/>
  <c r="S25" i="2"/>
  <c r="R25" i="2"/>
  <c r="C25" i="2"/>
  <c r="T24" i="2"/>
  <c r="S24" i="2"/>
  <c r="R24" i="2"/>
  <c r="C24" i="2"/>
  <c r="T23" i="2"/>
  <c r="S23" i="2"/>
  <c r="R23" i="2"/>
  <c r="C23" i="2"/>
  <c r="T22" i="2"/>
  <c r="S22" i="2"/>
  <c r="R22" i="2"/>
  <c r="D22" i="2"/>
  <c r="E22" i="2" s="1"/>
  <c r="U22" i="2" s="1"/>
  <c r="C22" i="2"/>
  <c r="T21" i="2"/>
  <c r="S21" i="2"/>
  <c r="R21" i="2"/>
  <c r="C21" i="2"/>
  <c r="D21" i="2" s="1"/>
  <c r="T20" i="2"/>
  <c r="S20" i="2"/>
  <c r="R20" i="2"/>
  <c r="C20" i="2"/>
  <c r="D20" i="2" s="1"/>
  <c r="T19" i="2"/>
  <c r="S19" i="2"/>
  <c r="R19" i="2"/>
  <c r="C19" i="2"/>
  <c r="D19" i="2" s="1"/>
  <c r="T18" i="2"/>
  <c r="S18" i="2"/>
  <c r="R18" i="2"/>
  <c r="C18" i="2"/>
  <c r="T17" i="2"/>
  <c r="S17" i="2"/>
  <c r="R17" i="2"/>
  <c r="C17" i="2"/>
  <c r="D17" i="2" s="1"/>
  <c r="T16" i="2"/>
  <c r="S16" i="2"/>
  <c r="R16" i="2"/>
  <c r="C16" i="2"/>
  <c r="T15" i="2"/>
  <c r="S15" i="2"/>
  <c r="R15" i="2"/>
  <c r="C15" i="2"/>
  <c r="T14" i="2"/>
  <c r="S14" i="2"/>
  <c r="R14" i="2"/>
  <c r="D14" i="2"/>
  <c r="C14" i="2"/>
  <c r="T13" i="2"/>
  <c r="S13" i="2"/>
  <c r="R13" i="2"/>
  <c r="C13" i="2"/>
  <c r="D13" i="2" s="1"/>
  <c r="T12" i="2"/>
  <c r="S12" i="2"/>
  <c r="R12" i="2"/>
  <c r="C12" i="2"/>
  <c r="D12" i="2" s="1"/>
  <c r="T11" i="2"/>
  <c r="S11" i="2"/>
  <c r="R11" i="2"/>
  <c r="C11" i="2"/>
  <c r="D11" i="2" s="1"/>
  <c r="T10" i="2"/>
  <c r="S10" i="2"/>
  <c r="R10" i="2"/>
  <c r="C10" i="2"/>
  <c r="T9" i="2"/>
  <c r="S9" i="2"/>
  <c r="R9" i="2"/>
  <c r="C9" i="2"/>
  <c r="D9" i="2" s="1"/>
  <c r="T8" i="2"/>
  <c r="S8" i="2"/>
  <c r="R8" i="2"/>
  <c r="C8" i="2"/>
  <c r="T7" i="2"/>
  <c r="S7" i="2"/>
  <c r="R7" i="2"/>
  <c r="C7" i="2"/>
  <c r="T6" i="2"/>
  <c r="S6" i="2"/>
  <c r="R6" i="2"/>
  <c r="D6" i="2"/>
  <c r="C6" i="2"/>
  <c r="T5" i="2"/>
  <c r="S5" i="2"/>
  <c r="R5" i="2"/>
  <c r="C5" i="2"/>
  <c r="D5" i="2" s="1"/>
  <c r="AC4" i="2"/>
  <c r="AC5" i="2" s="1"/>
  <c r="AC6" i="2" s="1"/>
  <c r="AC7" i="2" s="1"/>
  <c r="AC8" i="2" s="1"/>
  <c r="AC9" i="2" s="1"/>
  <c r="AC10" i="2" s="1"/>
  <c r="AC11" i="2" s="1"/>
  <c r="AC12" i="2" s="1"/>
  <c r="AC13" i="2" s="1"/>
  <c r="AC14" i="2" s="1"/>
  <c r="AC15" i="2" s="1"/>
  <c r="AC16" i="2" s="1"/>
  <c r="AC17" i="2" s="1"/>
  <c r="AC18" i="2" s="1"/>
  <c r="AC19" i="2" s="1"/>
  <c r="AC20" i="2" s="1"/>
  <c r="AC21" i="2" s="1"/>
  <c r="AC22" i="2" s="1"/>
  <c r="AC23" i="2" s="1"/>
  <c r="AC24" i="2" s="1"/>
  <c r="AC25" i="2" s="1"/>
  <c r="AC26" i="2" s="1"/>
  <c r="AC27" i="2" s="1"/>
  <c r="AC28" i="2" s="1"/>
  <c r="AC29" i="2" s="1"/>
  <c r="W4" i="2"/>
  <c r="V4" i="2"/>
  <c r="X4" i="2" s="1"/>
  <c r="U4" i="2"/>
  <c r="T4" i="2"/>
  <c r="S4" i="2"/>
  <c r="R4" i="2"/>
  <c r="B10" i="1"/>
  <c r="B9" i="1"/>
  <c r="B8" i="1"/>
  <c r="D27" i="2" s="1"/>
  <c r="AA31" i="2" l="1"/>
  <c r="D31" i="3" s="1"/>
  <c r="X31" i="2"/>
  <c r="F17" i="2"/>
  <c r="E17" i="2"/>
  <c r="U17" i="2" s="1"/>
  <c r="F9" i="2"/>
  <c r="E9" i="2"/>
  <c r="U9" i="2" s="1"/>
  <c r="E20" i="2"/>
  <c r="U20" i="2" s="1"/>
  <c r="F20" i="2"/>
  <c r="F31" i="2"/>
  <c r="E31" i="2"/>
  <c r="F28" i="2"/>
  <c r="E28" i="2"/>
  <c r="U28" i="2" s="1"/>
  <c r="E14" i="2"/>
  <c r="U14" i="2" s="1"/>
  <c r="F14" i="2"/>
  <c r="AA30" i="2"/>
  <c r="D30" i="3" s="1"/>
  <c r="X30" i="2"/>
  <c r="E19" i="2"/>
  <c r="U19" i="2" s="1"/>
  <c r="F19" i="2"/>
  <c r="F29" i="2"/>
  <c r="E29" i="2"/>
  <c r="U29" i="2" s="1"/>
  <c r="AA33" i="2"/>
  <c r="D33" i="3" s="1"/>
  <c r="X33" i="2"/>
  <c r="F5" i="2"/>
  <c r="E5" i="2"/>
  <c r="U5" i="2" s="1"/>
  <c r="V5" i="2" s="1"/>
  <c r="F26" i="2"/>
  <c r="E26" i="2"/>
  <c r="U26" i="2" s="1"/>
  <c r="F11" i="2"/>
  <c r="E11" i="2"/>
  <c r="U11" i="2" s="1"/>
  <c r="F13" i="2"/>
  <c r="E13" i="2"/>
  <c r="U13" i="2" s="1"/>
  <c r="F21" i="2"/>
  <c r="E21" i="2"/>
  <c r="U21" i="2" s="1"/>
  <c r="F33" i="2"/>
  <c r="E33" i="2"/>
  <c r="F32" i="2"/>
  <c r="E32" i="2"/>
  <c r="Y4" i="2"/>
  <c r="Z4" i="2"/>
  <c r="C4" i="3" s="1"/>
  <c r="E27" i="2"/>
  <c r="U27" i="2" s="1"/>
  <c r="F27" i="2"/>
  <c r="E6" i="2"/>
  <c r="U6" i="2" s="1"/>
  <c r="F6" i="2"/>
  <c r="E12" i="2"/>
  <c r="U12" i="2" s="1"/>
  <c r="F12" i="2"/>
  <c r="AA32" i="2"/>
  <c r="D32" i="3" s="1"/>
  <c r="X32" i="2"/>
  <c r="F22" i="2"/>
  <c r="D10" i="2"/>
  <c r="D25" i="2"/>
  <c r="D18" i="2"/>
  <c r="AA4" i="2"/>
  <c r="D4" i="3" s="1"/>
  <c r="D8" i="2"/>
  <c r="D16" i="2"/>
  <c r="D24" i="2"/>
  <c r="D7" i="2"/>
  <c r="D15" i="2"/>
  <c r="D23" i="2"/>
  <c r="E30" i="2"/>
  <c r="Z32" i="2" l="1"/>
  <c r="C32" i="3" s="1"/>
  <c r="Y32" i="2"/>
  <c r="Z30" i="2"/>
  <c r="C30" i="3" s="1"/>
  <c r="Y30" i="2"/>
  <c r="E23" i="2"/>
  <c r="U23" i="2" s="1"/>
  <c r="F23" i="2"/>
  <c r="F25" i="2"/>
  <c r="E25" i="2"/>
  <c r="U25" i="2" s="1"/>
  <c r="W5" i="2"/>
  <c r="W6" i="2" s="1"/>
  <c r="Z31" i="2"/>
  <c r="C31" i="3" s="1"/>
  <c r="Y31" i="2"/>
  <c r="E24" i="2"/>
  <c r="U24" i="2" s="1"/>
  <c r="F24" i="2"/>
  <c r="V6" i="2"/>
  <c r="X5" i="2"/>
  <c r="AA5" i="2"/>
  <c r="D5" i="3" s="1"/>
  <c r="F15" i="2"/>
  <c r="E15" i="2"/>
  <c r="U15" i="2" s="1"/>
  <c r="F10" i="2"/>
  <c r="E10" i="2"/>
  <c r="U10" i="2" s="1"/>
  <c r="Z33" i="2"/>
  <c r="C33" i="3" s="1"/>
  <c r="Y33" i="2"/>
  <c r="E16" i="2"/>
  <c r="U16" i="2" s="1"/>
  <c r="F16" i="2"/>
  <c r="E8" i="2"/>
  <c r="U8" i="2" s="1"/>
  <c r="F8" i="2"/>
  <c r="F18" i="2"/>
  <c r="E18" i="2"/>
  <c r="U18" i="2" s="1"/>
  <c r="F7" i="2"/>
  <c r="E7" i="2"/>
  <c r="U7" i="2" s="1"/>
  <c r="Y5" i="2" l="1"/>
  <c r="Z5" i="2"/>
  <c r="C5" i="3" s="1"/>
  <c r="X6" i="2"/>
  <c r="AA6" i="2"/>
  <c r="D6" i="3" s="1"/>
  <c r="V7" i="2"/>
  <c r="W7" i="2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AA7" i="2" l="1"/>
  <c r="D7" i="3" s="1"/>
  <c r="X7" i="2"/>
  <c r="V8" i="2"/>
  <c r="Z6" i="2"/>
  <c r="C6" i="3" s="1"/>
  <c r="Y6" i="2"/>
  <c r="X8" i="2" l="1"/>
  <c r="AA8" i="2"/>
  <c r="D8" i="3" s="1"/>
  <c r="V9" i="2"/>
  <c r="Z7" i="2"/>
  <c r="C7" i="3" s="1"/>
  <c r="Y7" i="2"/>
  <c r="AA9" i="2" l="1"/>
  <c r="D9" i="3" s="1"/>
  <c r="X9" i="2"/>
  <c r="V10" i="2"/>
  <c r="Z8" i="2"/>
  <c r="C8" i="3" s="1"/>
  <c r="Y8" i="2"/>
  <c r="V11" i="2" l="1"/>
  <c r="X10" i="2"/>
  <c r="AA10" i="2"/>
  <c r="D10" i="3" s="1"/>
  <c r="Y9" i="2"/>
  <c r="Z9" i="2"/>
  <c r="C9" i="3" s="1"/>
  <c r="Z10" i="2" l="1"/>
  <c r="C10" i="3" s="1"/>
  <c r="Y10" i="2"/>
  <c r="AA11" i="2"/>
  <c r="D11" i="3" s="1"/>
  <c r="V12" i="2"/>
  <c r="X11" i="2"/>
  <c r="Z11" i="2" l="1"/>
  <c r="C11" i="3" s="1"/>
  <c r="Y11" i="2"/>
  <c r="X12" i="2"/>
  <c r="AA12" i="2"/>
  <c r="D12" i="3" s="1"/>
  <c r="V13" i="2"/>
  <c r="V14" i="2" l="1"/>
  <c r="X13" i="2"/>
  <c r="AA13" i="2"/>
  <c r="D13" i="3" s="1"/>
  <c r="Y12" i="2"/>
  <c r="Z12" i="2"/>
  <c r="C12" i="3" s="1"/>
  <c r="Y13" i="2" l="1"/>
  <c r="Z13" i="2"/>
  <c r="C13" i="3" s="1"/>
  <c r="X14" i="2"/>
  <c r="AA14" i="2"/>
  <c r="D14" i="3" s="1"/>
  <c r="V15" i="2"/>
  <c r="AA15" i="2" l="1"/>
  <c r="D15" i="3" s="1"/>
  <c r="X15" i="2"/>
  <c r="V16" i="2"/>
  <c r="Z14" i="2"/>
  <c r="C14" i="3" s="1"/>
  <c r="Y14" i="2"/>
  <c r="X16" i="2" l="1"/>
  <c r="AA16" i="2"/>
  <c r="D16" i="3" s="1"/>
  <c r="V17" i="2"/>
  <c r="Y15" i="2"/>
  <c r="Z15" i="2"/>
  <c r="C15" i="3" s="1"/>
  <c r="AA17" i="2" l="1"/>
  <c r="D17" i="3" s="1"/>
  <c r="X17" i="2"/>
  <c r="V18" i="2"/>
  <c r="Z16" i="2"/>
  <c r="C16" i="3" s="1"/>
  <c r="Y16" i="2"/>
  <c r="X18" i="2" l="1"/>
  <c r="V19" i="2"/>
  <c r="AA18" i="2"/>
  <c r="D18" i="3" s="1"/>
  <c r="Y17" i="2"/>
  <c r="Z17" i="2"/>
  <c r="C17" i="3" s="1"/>
  <c r="AA19" i="2" l="1"/>
  <c r="D19" i="3" s="1"/>
  <c r="V20" i="2"/>
  <c r="X19" i="2"/>
  <c r="Z18" i="2"/>
  <c r="C18" i="3" s="1"/>
  <c r="Y18" i="2"/>
  <c r="Z19" i="2" l="1"/>
  <c r="C19" i="3" s="1"/>
  <c r="Y19" i="2"/>
  <c r="X20" i="2"/>
  <c r="AA20" i="2"/>
  <c r="D20" i="3" s="1"/>
  <c r="V21" i="2"/>
  <c r="V22" i="2" l="1"/>
  <c r="AA21" i="2"/>
  <c r="D21" i="3" s="1"/>
  <c r="X21" i="2"/>
  <c r="Y20" i="2"/>
  <c r="Z20" i="2"/>
  <c r="C20" i="3" s="1"/>
  <c r="Y21" i="2" l="1"/>
  <c r="Z21" i="2"/>
  <c r="C21" i="3" s="1"/>
  <c r="X22" i="2"/>
  <c r="AA22" i="2"/>
  <c r="D22" i="3" s="1"/>
  <c r="V23" i="2"/>
  <c r="Z22" i="2" l="1"/>
  <c r="C22" i="3" s="1"/>
  <c r="Y22" i="2"/>
  <c r="AA23" i="2"/>
  <c r="D23" i="3" s="1"/>
  <c r="X23" i="2"/>
  <c r="V24" i="2"/>
  <c r="X24" i="2" l="1"/>
  <c r="AA24" i="2"/>
  <c r="D24" i="3" s="1"/>
  <c r="V25" i="2"/>
  <c r="Y23" i="2"/>
  <c r="Z23" i="2"/>
  <c r="C23" i="3" s="1"/>
  <c r="AA25" i="2" l="1"/>
  <c r="D25" i="3" s="1"/>
  <c r="X25" i="2"/>
  <c r="V26" i="2"/>
  <c r="Y24" i="2"/>
  <c r="Z24" i="2"/>
  <c r="C24" i="3" s="1"/>
  <c r="AA26" i="2" l="1"/>
  <c r="D26" i="3" s="1"/>
  <c r="X26" i="2"/>
  <c r="V27" i="2"/>
  <c r="Z25" i="2"/>
  <c r="C25" i="3" s="1"/>
  <c r="Y25" i="2"/>
  <c r="X27" i="2" l="1"/>
  <c r="V28" i="2"/>
  <c r="AA27" i="2"/>
  <c r="D27" i="3" s="1"/>
  <c r="Z26" i="2"/>
  <c r="C26" i="3" s="1"/>
  <c r="Y26" i="2"/>
  <c r="X28" i="2" l="1"/>
  <c r="V29" i="2"/>
  <c r="AA28" i="2"/>
  <c r="D28" i="3" s="1"/>
  <c r="Z27" i="2"/>
  <c r="C27" i="3" s="1"/>
  <c r="Y27" i="2"/>
  <c r="X29" i="2" l="1"/>
  <c r="AA29" i="2"/>
  <c r="D29" i="3" s="1"/>
  <c r="Y28" i="2"/>
  <c r="Z28" i="2"/>
  <c r="C28" i="3" s="1"/>
  <c r="Z29" i="2" l="1"/>
  <c r="C29" i="3" s="1"/>
  <c r="Y29" i="2"/>
</calcChain>
</file>

<file path=xl/sharedStrings.xml><?xml version="1.0" encoding="utf-8"?>
<sst xmlns="http://schemas.openxmlformats.org/spreadsheetml/2006/main" count="149" uniqueCount="136">
  <si>
    <t>WSCM-Lite Simulator</t>
  </si>
  <si>
    <t>Weak Signal Cultivation Model — Practitioner-Ready Implementation</t>
  </si>
  <si>
    <t>Session Cadence</t>
  </si>
  <si>
    <t>Biweekly</t>
  </si>
  <si>
    <t>← Enter: Weekly, Biweekly, or Monthly</t>
  </si>
  <si>
    <t>Gap Thresholds (auto-calculated from cadence)</t>
  </si>
  <si>
    <t>Gap Type</t>
  </si>
  <si>
    <t>Max Days</t>
  </si>
  <si>
    <t>w</t>
  </si>
  <si>
    <t>decay</t>
  </si>
  <si>
    <t>Early</t>
  </si>
  <si>
    <t>Normal</t>
  </si>
  <si>
    <t>Missed 1</t>
  </si>
  <si>
    <t>Missed 2+</t>
  </si>
  <si>
    <t>—</t>
  </si>
  <si>
    <t>Hardcoded Constants</t>
  </si>
  <si>
    <t>Constant</t>
  </si>
  <si>
    <t>Value</t>
  </si>
  <si>
    <t>Role</t>
  </si>
  <si>
    <t>n_ref</t>
  </si>
  <si>
    <t>Full committee size</t>
  </si>
  <si>
    <t>α_min</t>
  </si>
  <si>
    <t>Solo reporter floor</t>
  </si>
  <si>
    <t xml:space="preserve"> y_min</t>
  </si>
  <si>
    <t>Decay floor</t>
  </si>
  <si>
    <t>d_SMS</t>
  </si>
  <si>
    <t>SMS escalation threshold</t>
  </si>
  <si>
    <t>d_close</t>
  </si>
  <si>
    <t>Retirement threshold</t>
  </si>
  <si>
    <t>d_max</t>
  </si>
  <si>
    <t>SSI normalization</t>
  </si>
  <si>
    <t>NRS Scale Reference</t>
  </si>
  <si>
    <t>NRS Score</t>
  </si>
  <si>
    <t>Risk Intensity (x)</t>
  </si>
  <si>
    <t>Risk Growth Potential (y)</t>
  </si>
  <si>
    <t>No concern</t>
  </si>
  <si>
    <t>No growth</t>
  </si>
  <si>
    <t>Minimal</t>
  </si>
  <si>
    <t>Moderate</t>
  </si>
  <si>
    <t>Significant</t>
  </si>
  <si>
    <t>Extreme</t>
  </si>
  <si>
    <t>Copyright © 2026. Maurice Codourey and Emmanuel A. Gonzalez. All rights reserved. Version 0.1, April 5, 2026.</t>
  </si>
  <si>
    <t>Signal Name:</t>
  </si>
  <si>
    <t>Gas Fumes (Loading Dock B)</t>
  </si>
  <si>
    <t>NRS x-scores (Risk Intensity, 0–4)</t>
  </si>
  <si>
    <t>NRS y-scores (Risk Growth Potential, 0–4)</t>
  </si>
  <si>
    <t>S</t>
  </si>
  <si>
    <t>Day</t>
  </si>
  <si>
    <t>Δt</t>
  </si>
  <si>
    <t>Gap</t>
  </si>
  <si>
    <t>n</t>
  </si>
  <si>
    <t>x₁</t>
  </si>
  <si>
    <t>x₂</t>
  </si>
  <si>
    <t>x₃</t>
  </si>
  <si>
    <t>x₄</t>
  </si>
  <si>
    <t>x₅</t>
  </si>
  <si>
    <t>y₁</t>
  </si>
  <si>
    <t>y₂</t>
  </si>
  <si>
    <t>y₃</t>
  </si>
  <si>
    <t>y₄</t>
  </si>
  <si>
    <t>y₅</t>
  </si>
  <si>
    <t>x_new</t>
  </si>
  <si>
    <t>y_new</t>
  </si>
  <si>
    <t>c(n)</t>
  </si>
  <si>
    <t>w_eff</t>
  </si>
  <si>
    <t>x′</t>
  </si>
  <si>
    <t>y′</t>
  </si>
  <si>
    <t>d</t>
  </si>
  <si>
    <t>SMS?</t>
  </si>
  <si>
    <t>SSI</t>
  </si>
  <si>
    <t>Region</t>
  </si>
  <si>
    <t>Occurrences</t>
  </si>
  <si>
    <t>f (cum.)</t>
  </si>
  <si>
    <t>Notes</t>
  </si>
  <si>
    <t>entry</t>
  </si>
  <si>
    <t>Entry. Faint smell near loading dock B.</t>
  </si>
  <si>
    <t>Same report, no escalation.</t>
  </si>
  <si>
    <t>Second reporter; y rising.</t>
  </si>
  <si>
    <t>Third report; approaching boundary.</t>
  </si>
  <si>
    <t>Two reporters, NRS(3,1); crosses x=5.</t>
  </si>
  <si>
    <t>Peak intensity; SMS triggered.</t>
  </si>
  <si>
    <t>Intensity oscillating; y beginning to rise.</t>
  </si>
  <si>
    <t>High intensity; growth suppressed.</t>
  </si>
  <si>
    <t>Sustained concern; y creeping up.</t>
  </si>
  <si>
    <t>y approaching midpoint.</t>
  </si>
  <si>
    <t>y crosses 5; enters Owls. Management engaged.</t>
  </si>
  <si>
    <t>Peak session. d=12.97. Emergency response.</t>
  </si>
  <si>
    <t>Maximum risk locus point.</t>
  </si>
  <si>
    <t>y declining; mitigation taking effect.</t>
  </si>
  <si>
    <t>Intensity dropping; growth rebounds.</t>
  </si>
  <si>
    <t>Both axes declining.</t>
  </si>
  <si>
    <t>x falling sharply; source identified.</t>
  </si>
  <si>
    <t>x crosses 5 downward; enters Sleeping Cats.</t>
  </si>
  <si>
    <t>Intensity falling; growth still elevated.</t>
  </si>
  <si>
    <t>y near peak in Sleeping Cats.</t>
  </si>
  <si>
    <t>Controls applied; intensity steady.</t>
  </si>
  <si>
    <t>Signal fading.</t>
  </si>
  <si>
    <t>Growth declining; both axes falling.</t>
  </si>
  <si>
    <t>Continued decline; routine monitoring.</t>
  </si>
  <si>
    <t>Near dormancy; low on both axes.</t>
  </si>
  <si>
    <t>Signal stable. Retirement candidate.</t>
  </si>
  <si>
    <t>Session Severity Index Over Time</t>
  </si>
  <si>
    <t>Session</t>
  </si>
  <si>
    <t>SSI Band</t>
  </si>
  <si>
    <t>Range</t>
  </si>
  <si>
    <t>Action</t>
  </si>
  <si>
    <t>Low</t>
  </si>
  <si>
    <t>0.0 – 0.5</t>
  </si>
  <si>
    <t>Routine monitoring</t>
  </si>
  <si>
    <t>0.5 – 1.5</t>
  </si>
  <si>
    <t>Team review recommended</t>
  </si>
  <si>
    <t>Elevated</t>
  </si>
  <si>
    <t>1.5 – 2.5</t>
  </si>
  <si>
    <t>Management notification</t>
  </si>
  <si>
    <t>Critical</t>
  </si>
  <si>
    <t>≥ 2.5</t>
  </si>
  <si>
    <t>Escalation imminent / SMS triggered</t>
  </si>
  <si>
    <t>Day (chart)</t>
  </si>
  <si>
    <t>SSI (chart)</t>
  </si>
  <si>
    <t>WSCM-Lite Simulator — Quick Start Guide</t>
  </si>
  <si>
    <t>Step 1: Set your cadence</t>
  </si>
  <si>
    <t>Go to Config. Enter 'Weekly', 'Biweekly', or 'Monthly' in cell B4.</t>
  </si>
  <si>
    <t>Step 2: Enter session data</t>
  </si>
  <si>
    <t>Go to Signal Tracker. Fill in: Day, n (assessors), NRS scores (0–4) for x and y.</t>
  </si>
  <si>
    <t>Step 3: Record occurrences</t>
  </si>
  <si>
    <t>In 'Occurrences' (AB), enter new real-world occurrences. 'f (cum.)' (AC) auto-calculates.</t>
  </si>
  <si>
    <t>Step 4: Read the results</t>
  </si>
  <si>
    <t>Columns V–AA auto-compute position, distance, SMS, SSI, Region. The SSI Chart sheet shows severity over time with labeled nodes.</t>
  </si>
  <si>
    <t>Entry Constraint</t>
  </si>
  <si>
    <t>New signals: ALL NRS scores ≤ 1 on both axes.</t>
  </si>
  <si>
    <t>Signal Retirement</t>
  </si>
  <si>
    <t>Retire when d &lt; 1.0 AND the team actively decides.</t>
  </si>
  <si>
    <t>Multiple Signals</t>
  </si>
  <si>
    <t>Duplicate Signal Tracker (right-click → Move or Copy → 'Create a copy').</t>
  </si>
  <si>
    <t>Reference</t>
  </si>
  <si>
    <t>Codourey, M. &amp; Gonzalez, E.A. (2026). The Weak Signal Cultivation Model. arXiv:2604.01495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</si>
</sst>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5" x14ac:knownFonts="1">
    <font>
      <sz val="11"/>
      <color theme="1"/>
      <name val="Calibri"/>
      <family val="2"/>
      <charset val="1"/>
    </font>
    <font>
      <b/>
      <sz val="14"/>
      <color rgb="FF1E3A5F"/>
      <name val="Arial"/>
      <family val="2"/>
    </font>
    <font>
      <i/>
      <sz val="11"/>
      <color rgb="FF334155"/>
      <name val="Arial"/>
      <family val="2"/>
    </font>
    <font>
      <b/>
      <sz val="10"/>
      <color rgb="FF334155"/>
      <name val="Arial"/>
      <family val="2"/>
    </font>
    <font>
      <sz val="10"/>
      <color rgb="FF0000FF"/>
      <name val="Arial"/>
      <family val="2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10"/>
      <color rgb="FF334155"/>
      <name val="Arial"/>
      <family val="2"/>
    </font>
    <font>
      <i/>
      <sz val="8"/>
      <color rgb="FF888888"/>
      <name val="Arial"/>
      <family val="2"/>
    </font>
    <font>
      <b/>
      <sz val="9"/>
      <color rgb="FF1E40AF"/>
      <name val="Arial"/>
      <family val="2"/>
    </font>
    <font>
      <b/>
      <sz val="9"/>
      <color rgb="FF991B1B"/>
      <name val="Arial"/>
      <family val="2"/>
    </font>
    <font>
      <b/>
      <sz val="10"/>
      <color rgb="FF16A34A"/>
      <name val="Arial"/>
      <family val="2"/>
    </font>
    <font>
      <b/>
      <sz val="10"/>
      <color rgb="FFA16207"/>
      <name val="Arial"/>
      <family val="2"/>
    </font>
    <font>
      <b/>
      <sz val="10"/>
      <color rgb="FFC2410C"/>
      <name val="Arial"/>
      <family val="2"/>
    </font>
    <font>
      <b/>
      <sz val="10"/>
      <color rgb="FFDC262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E3A5F"/>
        <bgColor rgb="FF334155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0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8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8" fillId="0" borderId="0" xfId="0" applyFont="1"/>
    <xf numFmtId="0" fontId="4" fillId="0" borderId="1" xfId="0" applyFont="1" applyBorder="1" applyAlignment="1">
      <alignment horizontal="center" vertical="center" wrapText="1"/>
    </xf>
    <xf numFmtId="164" fontId="7" fillId="3" borderId="1" xfId="0" applyNumberFormat="1" applyFont="1" applyFill="1" applyBorder="1" applyAlignment="1">
      <alignment horizontal="center" vertical="center" wrapText="1"/>
    </xf>
    <xf numFmtId="2" fontId="7" fillId="3" borderId="1" xfId="0" applyNumberFormat="1" applyFont="1" applyFill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 wrapText="1"/>
    </xf>
    <xf numFmtId="0" fontId="7" fillId="0" borderId="0" xfId="0" applyFont="1"/>
    <xf numFmtId="2" fontId="7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2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16207"/>
      <rgbColor rgb="FF800080"/>
      <rgbColor rgb="FF008080"/>
      <rgbColor rgb="FFC0C0C0"/>
      <rgbColor rgb="FF878787"/>
      <rgbColor rgb="FF94A3B8"/>
      <rgbColor rgb="FFC2410C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88888"/>
      <rgbColor rgb="FF1E3A5F"/>
      <rgbColor rgb="FF16A34A"/>
      <rgbColor rgb="FF003300"/>
      <rgbColor rgb="FF333300"/>
      <rgbColor rgb="FF991B1B"/>
      <rgbColor rgb="FF993366"/>
      <rgbColor rgb="FF1E40AF"/>
      <rgbColor rgb="FF3341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SSI</c:v>
          </c:tx>
          <c:spPr>
            <a:ln w="18000">
              <a:solidFill>
                <a:srgbClr val="3341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Chart'!$F$11:$F$36</c:f>
              <c:numCache>
                <c:formatCode>General</c:formatCode>
                <c:ptCount val="26"/>
                <c:pt idx="0">
                  <c:v>0</c:v>
                </c:pt>
                <c:pt idx="1">
                  <c:v>14</c:v>
                </c:pt>
                <c:pt idx="2">
                  <c:v>28</c:v>
                </c:pt>
                <c:pt idx="3">
                  <c:v>42</c:v>
                </c:pt>
                <c:pt idx="4">
                  <c:v>49</c:v>
                </c:pt>
                <c:pt idx="5">
                  <c:v>63</c:v>
                </c:pt>
                <c:pt idx="6">
                  <c:v>70</c:v>
                </c:pt>
                <c:pt idx="7">
                  <c:v>77</c:v>
                </c:pt>
                <c:pt idx="8">
                  <c:v>91</c:v>
                </c:pt>
                <c:pt idx="9">
                  <c:v>98</c:v>
                </c:pt>
                <c:pt idx="10">
                  <c:v>105</c:v>
                </c:pt>
                <c:pt idx="11">
                  <c:v>112</c:v>
                </c:pt>
                <c:pt idx="12">
                  <c:v>119</c:v>
                </c:pt>
                <c:pt idx="13">
                  <c:v>133</c:v>
                </c:pt>
                <c:pt idx="14">
                  <c:v>140</c:v>
                </c:pt>
                <c:pt idx="15">
                  <c:v>147</c:v>
                </c:pt>
                <c:pt idx="16">
                  <c:v>154</c:v>
                </c:pt>
                <c:pt idx="17">
                  <c:v>161</c:v>
                </c:pt>
                <c:pt idx="18">
                  <c:v>168</c:v>
                </c:pt>
                <c:pt idx="19">
                  <c:v>182</c:v>
                </c:pt>
                <c:pt idx="20">
                  <c:v>189</c:v>
                </c:pt>
                <c:pt idx="21">
                  <c:v>196</c:v>
                </c:pt>
                <c:pt idx="22">
                  <c:v>210</c:v>
                </c:pt>
                <c:pt idx="23">
                  <c:v>224</c:v>
                </c:pt>
                <c:pt idx="24">
                  <c:v>238</c:v>
                </c:pt>
                <c:pt idx="25">
                  <c:v>252</c:v>
                </c:pt>
              </c:numCache>
            </c:numRef>
          </c:xVal>
          <c:yVal>
            <c:numRef>
              <c:f>'SSI Chart'!$G$11:$G$36</c:f>
              <c:numCache>
                <c:formatCode>0.00</c:formatCode>
                <c:ptCount val="26"/>
                <c:pt idx="0">
                  <c:v>0.34660000000000002</c:v>
                </c:pt>
                <c:pt idx="1">
                  <c:v>0.39190000000000003</c:v>
                </c:pt>
                <c:pt idx="2">
                  <c:v>0.52190000000000003</c:v>
                </c:pt>
                <c:pt idx="3">
                  <c:v>0.76819999999999999</c:v>
                </c:pt>
                <c:pt idx="4">
                  <c:v>0.91290000000000004</c:v>
                </c:pt>
                <c:pt idx="5">
                  <c:v>1.3338000000000001</c:v>
                </c:pt>
                <c:pt idx="6">
                  <c:v>1.5088999999999999</c:v>
                </c:pt>
                <c:pt idx="7">
                  <c:v>1.7516</c:v>
                </c:pt>
                <c:pt idx="8">
                  <c:v>1.9027000000000001</c:v>
                </c:pt>
                <c:pt idx="9">
                  <c:v>2.1408999999999998</c:v>
                </c:pt>
                <c:pt idx="10">
                  <c:v>2.3214000000000001</c:v>
                </c:pt>
                <c:pt idx="11">
                  <c:v>2.7370000000000001</c:v>
                </c:pt>
                <c:pt idx="12">
                  <c:v>3.1137999999999999</c:v>
                </c:pt>
                <c:pt idx="13">
                  <c:v>3.2841999999999998</c:v>
                </c:pt>
                <c:pt idx="14">
                  <c:v>3.3085</c:v>
                </c:pt>
                <c:pt idx="15">
                  <c:v>3.1964999999999999</c:v>
                </c:pt>
                <c:pt idx="16">
                  <c:v>2.9885999999999999</c:v>
                </c:pt>
                <c:pt idx="17">
                  <c:v>2.7157</c:v>
                </c:pt>
                <c:pt idx="18">
                  <c:v>2.5158999999999998</c:v>
                </c:pt>
                <c:pt idx="19">
                  <c:v>2.7233000000000001</c:v>
                </c:pt>
                <c:pt idx="20">
                  <c:v>2.6888999999999998</c:v>
                </c:pt>
                <c:pt idx="21">
                  <c:v>2.5124</c:v>
                </c:pt>
                <c:pt idx="22">
                  <c:v>2.0411000000000001</c:v>
                </c:pt>
                <c:pt idx="23">
                  <c:v>1.7942</c:v>
                </c:pt>
                <c:pt idx="24">
                  <c:v>1.4162999999999999</c:v>
                </c:pt>
                <c:pt idx="25">
                  <c:v>1.2124999999999999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9B-9042-B062-78B14DB5259B}"/>
            </c:ext>
          </c:extLst>
        </c:ser>
        <c:ser>
          <c:idx val="1"/>
          <c:order val="1"/>
          <c:tx>
            <c:v>S1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Chart'!$F$11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'SSI Chart'!$G$11</c:f>
              <c:numCache>
                <c:formatCode>0.00</c:formatCode>
                <c:ptCount val="1"/>
                <c:pt idx="0">
                  <c:v>0.34660000000000002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9B-9042-B062-78B14DB5259B}"/>
            </c:ext>
          </c:extLst>
        </c:ser>
        <c:ser>
          <c:idx val="2"/>
          <c:order val="2"/>
          <c:tx>
            <c:v>S2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Chart'!$F$12</c:f>
              <c:numCache>
                <c:formatCode>General</c:formatCode>
                <c:ptCount val="1"/>
                <c:pt idx="0">
                  <c:v>14</c:v>
                </c:pt>
              </c:numCache>
            </c:numRef>
          </c:xVal>
          <c:yVal>
            <c:numRef>
              <c:f>'SSI Chart'!$G$12</c:f>
              <c:numCache>
                <c:formatCode>0.00</c:formatCode>
                <c:ptCount val="1"/>
                <c:pt idx="0">
                  <c:v>0.39190000000000003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9B-9042-B062-78B14DB5259B}"/>
            </c:ext>
          </c:extLst>
        </c:ser>
        <c:ser>
          <c:idx val="3"/>
          <c:order val="3"/>
          <c:tx>
            <c:v>S3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Chart'!$F$13</c:f>
              <c:numCache>
                <c:formatCode>General</c:formatCode>
                <c:ptCount val="1"/>
                <c:pt idx="0">
                  <c:v>28</c:v>
                </c:pt>
              </c:numCache>
            </c:numRef>
          </c:xVal>
          <c:yVal>
            <c:numRef>
              <c:f>'SSI Chart'!$G$13</c:f>
              <c:numCache>
                <c:formatCode>0.00</c:formatCode>
                <c:ptCount val="1"/>
                <c:pt idx="0">
                  <c:v>0.52190000000000003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79B-9042-B062-78B14DB5259B}"/>
            </c:ext>
          </c:extLst>
        </c:ser>
        <c:ser>
          <c:idx val="4"/>
          <c:order val="4"/>
          <c:tx>
            <c:v>S4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Chart'!$F$14</c:f>
              <c:numCache>
                <c:formatCode>General</c:formatCode>
                <c:ptCount val="1"/>
                <c:pt idx="0">
                  <c:v>42</c:v>
                </c:pt>
              </c:numCache>
            </c:numRef>
          </c:xVal>
          <c:yVal>
            <c:numRef>
              <c:f>'SSI Chart'!$G$14</c:f>
              <c:numCache>
                <c:formatCode>0.00</c:formatCode>
                <c:ptCount val="1"/>
                <c:pt idx="0">
                  <c:v>0.76819999999999999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79B-9042-B062-78B14DB5259B}"/>
            </c:ext>
          </c:extLst>
        </c:ser>
        <c:ser>
          <c:idx val="5"/>
          <c:order val="5"/>
          <c:tx>
            <c:v>S5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Chart'!$F$15</c:f>
              <c:numCache>
                <c:formatCode>General</c:formatCode>
                <c:ptCount val="1"/>
                <c:pt idx="0">
                  <c:v>49</c:v>
                </c:pt>
              </c:numCache>
            </c:numRef>
          </c:xVal>
          <c:yVal>
            <c:numRef>
              <c:f>'SSI Chart'!$G$15</c:f>
              <c:numCache>
                <c:formatCode>0.00</c:formatCode>
                <c:ptCount val="1"/>
                <c:pt idx="0">
                  <c:v>0.91290000000000004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79B-9042-B062-78B14DB5259B}"/>
            </c:ext>
          </c:extLst>
        </c:ser>
        <c:ser>
          <c:idx val="6"/>
          <c:order val="6"/>
          <c:tx>
            <c:v>S6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Chart'!$F$16</c:f>
              <c:numCache>
                <c:formatCode>General</c:formatCode>
                <c:ptCount val="1"/>
                <c:pt idx="0">
                  <c:v>63</c:v>
                </c:pt>
              </c:numCache>
            </c:numRef>
          </c:xVal>
          <c:yVal>
            <c:numRef>
              <c:f>'SSI Chart'!$G$16</c:f>
              <c:numCache>
                <c:formatCode>0.00</c:formatCode>
                <c:ptCount val="1"/>
                <c:pt idx="0">
                  <c:v>1.3338000000000001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79B-9042-B062-78B14DB5259B}"/>
            </c:ext>
          </c:extLst>
        </c:ser>
        <c:ser>
          <c:idx val="7"/>
          <c:order val="7"/>
          <c:tx>
            <c:v>S7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Chart'!$F$17</c:f>
              <c:numCache>
                <c:formatCode>General</c:formatCode>
                <c:ptCount val="1"/>
                <c:pt idx="0">
                  <c:v>70</c:v>
                </c:pt>
              </c:numCache>
            </c:numRef>
          </c:xVal>
          <c:yVal>
            <c:numRef>
              <c:f>'SSI Chart'!$G$17</c:f>
              <c:numCache>
                <c:formatCode>0.00</c:formatCode>
                <c:ptCount val="1"/>
                <c:pt idx="0">
                  <c:v>1.5088999999999999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79B-9042-B062-78B14DB5259B}"/>
            </c:ext>
          </c:extLst>
        </c:ser>
        <c:ser>
          <c:idx val="8"/>
          <c:order val="8"/>
          <c:tx>
            <c:v>S8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Chart'!$F$18</c:f>
              <c:numCache>
                <c:formatCode>General</c:formatCode>
                <c:ptCount val="1"/>
                <c:pt idx="0">
                  <c:v>77</c:v>
                </c:pt>
              </c:numCache>
            </c:numRef>
          </c:xVal>
          <c:yVal>
            <c:numRef>
              <c:f>'SSI Chart'!$G$18</c:f>
              <c:numCache>
                <c:formatCode>0.00</c:formatCode>
                <c:ptCount val="1"/>
                <c:pt idx="0">
                  <c:v>1.7516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79B-9042-B062-78B14DB5259B}"/>
            </c:ext>
          </c:extLst>
        </c:ser>
        <c:ser>
          <c:idx val="9"/>
          <c:order val="9"/>
          <c:tx>
            <c:v>S9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Chart'!$F$19</c:f>
              <c:numCache>
                <c:formatCode>General</c:formatCode>
                <c:ptCount val="1"/>
                <c:pt idx="0">
                  <c:v>91</c:v>
                </c:pt>
              </c:numCache>
            </c:numRef>
          </c:xVal>
          <c:yVal>
            <c:numRef>
              <c:f>'SSI Chart'!$G$19</c:f>
              <c:numCache>
                <c:formatCode>0.00</c:formatCode>
                <c:ptCount val="1"/>
                <c:pt idx="0">
                  <c:v>1.9027000000000001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79B-9042-B062-78B14DB5259B}"/>
            </c:ext>
          </c:extLst>
        </c:ser>
        <c:ser>
          <c:idx val="10"/>
          <c:order val="10"/>
          <c:tx>
            <c:v>S10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Chart'!$F$20</c:f>
              <c:numCache>
                <c:formatCode>General</c:formatCode>
                <c:ptCount val="1"/>
                <c:pt idx="0">
                  <c:v>98</c:v>
                </c:pt>
              </c:numCache>
            </c:numRef>
          </c:xVal>
          <c:yVal>
            <c:numRef>
              <c:f>'SSI Chart'!$G$20</c:f>
              <c:numCache>
                <c:formatCode>0.00</c:formatCode>
                <c:ptCount val="1"/>
                <c:pt idx="0">
                  <c:v>2.1408999999999998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79B-9042-B062-78B14DB5259B}"/>
            </c:ext>
          </c:extLst>
        </c:ser>
        <c:ser>
          <c:idx val="11"/>
          <c:order val="11"/>
          <c:tx>
            <c:v>S11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Chart'!$F$21</c:f>
              <c:numCache>
                <c:formatCode>General</c:formatCode>
                <c:ptCount val="1"/>
                <c:pt idx="0">
                  <c:v>105</c:v>
                </c:pt>
              </c:numCache>
            </c:numRef>
          </c:xVal>
          <c:yVal>
            <c:numRef>
              <c:f>'SSI Chart'!$G$21</c:f>
              <c:numCache>
                <c:formatCode>0.00</c:formatCode>
                <c:ptCount val="1"/>
                <c:pt idx="0">
                  <c:v>2.3214000000000001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79B-9042-B062-78B14DB5259B}"/>
            </c:ext>
          </c:extLst>
        </c:ser>
        <c:ser>
          <c:idx val="12"/>
          <c:order val="12"/>
          <c:tx>
            <c:v>S12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Chart'!$F$22</c:f>
              <c:numCache>
                <c:formatCode>General</c:formatCode>
                <c:ptCount val="1"/>
                <c:pt idx="0">
                  <c:v>112</c:v>
                </c:pt>
              </c:numCache>
            </c:numRef>
          </c:xVal>
          <c:yVal>
            <c:numRef>
              <c:f>'SSI Chart'!$G$22</c:f>
              <c:numCache>
                <c:formatCode>0.00</c:formatCode>
                <c:ptCount val="1"/>
                <c:pt idx="0">
                  <c:v>2.7370000000000001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79B-9042-B062-78B14DB5259B}"/>
            </c:ext>
          </c:extLst>
        </c:ser>
        <c:ser>
          <c:idx val="13"/>
          <c:order val="13"/>
          <c:tx>
            <c:v>S13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Chart'!$F$23</c:f>
              <c:numCache>
                <c:formatCode>General</c:formatCode>
                <c:ptCount val="1"/>
                <c:pt idx="0">
                  <c:v>119</c:v>
                </c:pt>
              </c:numCache>
            </c:numRef>
          </c:xVal>
          <c:yVal>
            <c:numRef>
              <c:f>'SSI Chart'!$G$23</c:f>
              <c:numCache>
                <c:formatCode>0.00</c:formatCode>
                <c:ptCount val="1"/>
                <c:pt idx="0">
                  <c:v>3.1137999999999999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79B-9042-B062-78B14DB5259B}"/>
            </c:ext>
          </c:extLst>
        </c:ser>
        <c:ser>
          <c:idx val="14"/>
          <c:order val="14"/>
          <c:tx>
            <c:v>S14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Chart'!$F$24</c:f>
              <c:numCache>
                <c:formatCode>General</c:formatCode>
                <c:ptCount val="1"/>
                <c:pt idx="0">
                  <c:v>133</c:v>
                </c:pt>
              </c:numCache>
            </c:numRef>
          </c:xVal>
          <c:yVal>
            <c:numRef>
              <c:f>'SSI Chart'!$G$24</c:f>
              <c:numCache>
                <c:formatCode>0.00</c:formatCode>
                <c:ptCount val="1"/>
                <c:pt idx="0">
                  <c:v>3.2841999999999998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79B-9042-B062-78B14DB5259B}"/>
            </c:ext>
          </c:extLst>
        </c:ser>
        <c:ser>
          <c:idx val="15"/>
          <c:order val="15"/>
          <c:tx>
            <c:v>S15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Chart'!$F$25</c:f>
              <c:numCache>
                <c:formatCode>General</c:formatCode>
                <c:ptCount val="1"/>
                <c:pt idx="0">
                  <c:v>140</c:v>
                </c:pt>
              </c:numCache>
            </c:numRef>
          </c:xVal>
          <c:yVal>
            <c:numRef>
              <c:f>'SSI Chart'!$G$25</c:f>
              <c:numCache>
                <c:formatCode>0.00</c:formatCode>
                <c:ptCount val="1"/>
                <c:pt idx="0">
                  <c:v>3.3085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79B-9042-B062-78B14DB5259B}"/>
            </c:ext>
          </c:extLst>
        </c:ser>
        <c:ser>
          <c:idx val="16"/>
          <c:order val="16"/>
          <c:tx>
            <c:v>S16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Chart'!$F$26</c:f>
              <c:numCache>
                <c:formatCode>General</c:formatCode>
                <c:ptCount val="1"/>
                <c:pt idx="0">
                  <c:v>147</c:v>
                </c:pt>
              </c:numCache>
            </c:numRef>
          </c:xVal>
          <c:yVal>
            <c:numRef>
              <c:f>'SSI Chart'!$G$26</c:f>
              <c:numCache>
                <c:formatCode>0.00</c:formatCode>
                <c:ptCount val="1"/>
                <c:pt idx="0">
                  <c:v>3.1964999999999999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79B-9042-B062-78B14DB5259B}"/>
            </c:ext>
          </c:extLst>
        </c:ser>
        <c:ser>
          <c:idx val="17"/>
          <c:order val="17"/>
          <c:tx>
            <c:v>S17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Chart'!$F$27</c:f>
              <c:numCache>
                <c:formatCode>General</c:formatCode>
                <c:ptCount val="1"/>
                <c:pt idx="0">
                  <c:v>154</c:v>
                </c:pt>
              </c:numCache>
            </c:numRef>
          </c:xVal>
          <c:yVal>
            <c:numRef>
              <c:f>'SSI Chart'!$G$27</c:f>
              <c:numCache>
                <c:formatCode>0.00</c:formatCode>
                <c:ptCount val="1"/>
                <c:pt idx="0">
                  <c:v>2.9885999999999999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79B-9042-B062-78B14DB5259B}"/>
            </c:ext>
          </c:extLst>
        </c:ser>
        <c:ser>
          <c:idx val="18"/>
          <c:order val="18"/>
          <c:tx>
            <c:v>S18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Chart'!$F$28</c:f>
              <c:numCache>
                <c:formatCode>General</c:formatCode>
                <c:ptCount val="1"/>
                <c:pt idx="0">
                  <c:v>161</c:v>
                </c:pt>
              </c:numCache>
            </c:numRef>
          </c:xVal>
          <c:yVal>
            <c:numRef>
              <c:f>'SSI Chart'!$G$28</c:f>
              <c:numCache>
                <c:formatCode>0.00</c:formatCode>
                <c:ptCount val="1"/>
                <c:pt idx="0">
                  <c:v>2.7157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79B-9042-B062-78B14DB5259B}"/>
            </c:ext>
          </c:extLst>
        </c:ser>
        <c:ser>
          <c:idx val="19"/>
          <c:order val="19"/>
          <c:tx>
            <c:v>S19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Chart'!$F$29</c:f>
              <c:numCache>
                <c:formatCode>General</c:formatCode>
                <c:ptCount val="1"/>
                <c:pt idx="0">
                  <c:v>168</c:v>
                </c:pt>
              </c:numCache>
            </c:numRef>
          </c:xVal>
          <c:yVal>
            <c:numRef>
              <c:f>'SSI Chart'!$G$29</c:f>
              <c:numCache>
                <c:formatCode>0.00</c:formatCode>
                <c:ptCount val="1"/>
                <c:pt idx="0">
                  <c:v>2.5158999999999998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79B-9042-B062-78B14DB5259B}"/>
            </c:ext>
          </c:extLst>
        </c:ser>
        <c:ser>
          <c:idx val="20"/>
          <c:order val="20"/>
          <c:tx>
            <c:v>S20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Chart'!$F$30</c:f>
              <c:numCache>
                <c:formatCode>General</c:formatCode>
                <c:ptCount val="1"/>
                <c:pt idx="0">
                  <c:v>182</c:v>
                </c:pt>
              </c:numCache>
            </c:numRef>
          </c:xVal>
          <c:yVal>
            <c:numRef>
              <c:f>'SSI Chart'!$G$30</c:f>
              <c:numCache>
                <c:formatCode>0.00</c:formatCode>
                <c:ptCount val="1"/>
                <c:pt idx="0">
                  <c:v>2.7233000000000001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F79B-9042-B062-78B14DB5259B}"/>
            </c:ext>
          </c:extLst>
        </c:ser>
        <c:ser>
          <c:idx val="21"/>
          <c:order val="21"/>
          <c:tx>
            <c:v>S21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Chart'!$F$31</c:f>
              <c:numCache>
                <c:formatCode>General</c:formatCode>
                <c:ptCount val="1"/>
                <c:pt idx="0">
                  <c:v>189</c:v>
                </c:pt>
              </c:numCache>
            </c:numRef>
          </c:xVal>
          <c:yVal>
            <c:numRef>
              <c:f>'SSI Chart'!$G$31</c:f>
              <c:numCache>
                <c:formatCode>0.00</c:formatCode>
                <c:ptCount val="1"/>
                <c:pt idx="0">
                  <c:v>2.6888999999999998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F79B-9042-B062-78B14DB5259B}"/>
            </c:ext>
          </c:extLst>
        </c:ser>
        <c:ser>
          <c:idx val="22"/>
          <c:order val="22"/>
          <c:tx>
            <c:v>S22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Chart'!$F$32</c:f>
              <c:numCache>
                <c:formatCode>General</c:formatCode>
                <c:ptCount val="1"/>
                <c:pt idx="0">
                  <c:v>196</c:v>
                </c:pt>
              </c:numCache>
            </c:numRef>
          </c:xVal>
          <c:yVal>
            <c:numRef>
              <c:f>'SSI Chart'!$G$32</c:f>
              <c:numCache>
                <c:formatCode>0.00</c:formatCode>
                <c:ptCount val="1"/>
                <c:pt idx="0">
                  <c:v>2.5124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F79B-9042-B062-78B14DB5259B}"/>
            </c:ext>
          </c:extLst>
        </c:ser>
        <c:ser>
          <c:idx val="23"/>
          <c:order val="23"/>
          <c:tx>
            <c:v>S23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Chart'!$F$33</c:f>
              <c:numCache>
                <c:formatCode>General</c:formatCode>
                <c:ptCount val="1"/>
                <c:pt idx="0">
                  <c:v>210</c:v>
                </c:pt>
              </c:numCache>
            </c:numRef>
          </c:xVal>
          <c:yVal>
            <c:numRef>
              <c:f>'SSI Chart'!$G$33</c:f>
              <c:numCache>
                <c:formatCode>0.00</c:formatCode>
                <c:ptCount val="1"/>
                <c:pt idx="0">
                  <c:v>2.0411000000000001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F79B-9042-B062-78B14DB5259B}"/>
            </c:ext>
          </c:extLst>
        </c:ser>
        <c:ser>
          <c:idx val="24"/>
          <c:order val="24"/>
          <c:tx>
            <c:v>S24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Chart'!$F$34</c:f>
              <c:numCache>
                <c:formatCode>General</c:formatCode>
                <c:ptCount val="1"/>
                <c:pt idx="0">
                  <c:v>224</c:v>
                </c:pt>
              </c:numCache>
            </c:numRef>
          </c:xVal>
          <c:yVal>
            <c:numRef>
              <c:f>'SSI Chart'!$G$34</c:f>
              <c:numCache>
                <c:formatCode>0.00</c:formatCode>
                <c:ptCount val="1"/>
                <c:pt idx="0">
                  <c:v>1.7942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F79B-9042-B062-78B14DB5259B}"/>
            </c:ext>
          </c:extLst>
        </c:ser>
        <c:ser>
          <c:idx val="25"/>
          <c:order val="25"/>
          <c:tx>
            <c:v>S25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Chart'!$F$35</c:f>
              <c:numCache>
                <c:formatCode>General</c:formatCode>
                <c:ptCount val="1"/>
                <c:pt idx="0">
                  <c:v>238</c:v>
                </c:pt>
              </c:numCache>
            </c:numRef>
          </c:xVal>
          <c:yVal>
            <c:numRef>
              <c:f>'SSI Chart'!$G$35</c:f>
              <c:numCache>
                <c:formatCode>0.00</c:formatCode>
                <c:ptCount val="1"/>
                <c:pt idx="0">
                  <c:v>1.4162999999999999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F79B-9042-B062-78B14DB5259B}"/>
            </c:ext>
          </c:extLst>
        </c:ser>
        <c:ser>
          <c:idx val="26"/>
          <c:order val="26"/>
          <c:tx>
            <c:v>S26</c:v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1E40A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Chart'!$F$36</c:f>
              <c:numCache>
                <c:formatCode>General</c:formatCode>
                <c:ptCount val="1"/>
                <c:pt idx="0">
                  <c:v>252</c:v>
                </c:pt>
              </c:numCache>
            </c:numRef>
          </c:xVal>
          <c:yVal>
            <c:numRef>
              <c:f>'SSI Chart'!$G$36</c:f>
              <c:numCache>
                <c:formatCode>0.00</c:formatCode>
                <c:ptCount val="1"/>
                <c:pt idx="0">
                  <c:v>1.2124999999999999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F79B-9042-B062-78B14DB5259B}"/>
            </c:ext>
          </c:extLst>
        </c:ser>
        <c:ser>
          <c:idx val="27"/>
          <c:order val="27"/>
          <c:tx>
            <c:v>SSI=0.5</c:v>
          </c:tx>
          <c:spPr>
            <a:ln w="5040">
              <a:solidFill>
                <a:srgbClr val="94A3B8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Chart'!$F$38:$F$39</c:f>
              <c:numCache>
                <c:formatCode>General</c:formatCode>
                <c:ptCount val="2"/>
                <c:pt idx="0">
                  <c:v>0</c:v>
                </c:pt>
                <c:pt idx="1">
                  <c:v>270</c:v>
                </c:pt>
              </c:numCache>
            </c:numRef>
          </c:xVal>
          <c:yVal>
            <c:numRef>
              <c:f>'SSI Chart'!$G$38:$G$39</c:f>
              <c:numCache>
                <c:formatCode>General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F79B-9042-B062-78B14DB5259B}"/>
            </c:ext>
          </c:extLst>
        </c:ser>
        <c:ser>
          <c:idx val="28"/>
          <c:order val="28"/>
          <c:tx>
            <c:v>SSI=1.5</c:v>
          </c:tx>
          <c:spPr>
            <a:ln w="5040">
              <a:solidFill>
                <a:srgbClr val="94A3B8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Chart'!$F$40:$F$41</c:f>
              <c:numCache>
                <c:formatCode>General</c:formatCode>
                <c:ptCount val="2"/>
                <c:pt idx="0">
                  <c:v>0</c:v>
                </c:pt>
                <c:pt idx="1">
                  <c:v>270</c:v>
                </c:pt>
              </c:numCache>
            </c:numRef>
          </c:xVal>
          <c:yVal>
            <c:numRef>
              <c:f>'SSI Chart'!$G$40:$G$41</c:f>
              <c:numCache>
                <c:formatCode>General</c:formatCode>
                <c:ptCount val="2"/>
                <c:pt idx="0">
                  <c:v>1.5</c:v>
                </c:pt>
                <c:pt idx="1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F79B-9042-B062-78B14DB5259B}"/>
            </c:ext>
          </c:extLst>
        </c:ser>
        <c:ser>
          <c:idx val="29"/>
          <c:order val="29"/>
          <c:tx>
            <c:v>SSI=2.5</c:v>
          </c:tx>
          <c:spPr>
            <a:ln w="5040">
              <a:solidFill>
                <a:srgbClr val="94A3B8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'SSI Chart'!$F$42:$F$43</c:f>
              <c:numCache>
                <c:formatCode>General</c:formatCode>
                <c:ptCount val="2"/>
                <c:pt idx="0">
                  <c:v>0</c:v>
                </c:pt>
                <c:pt idx="1">
                  <c:v>270</c:v>
                </c:pt>
              </c:numCache>
            </c:numRef>
          </c:xVal>
          <c:yVal>
            <c:numRef>
              <c:f>'SSI Chart'!$G$42:$G$43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F79B-9042-B062-78B14DB52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70507"/>
        <c:axId val="75138622"/>
      </c:scatterChart>
      <c:valAx>
        <c:axId val="29670507"/>
        <c:scaling>
          <c:orientation val="minMax"/>
          <c:max val="270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5138622"/>
        <c:crosses val="autoZero"/>
        <c:crossBetween val="midCat"/>
      </c:valAx>
      <c:valAx>
        <c:axId val="75138622"/>
        <c:scaling>
          <c:orientation val="minMax"/>
          <c:max val="3.6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Session Severity Index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967050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38</xdr:row>
      <xdr:rowOff>160920</xdr:rowOff>
    </xdr:from>
    <xdr:to>
      <xdr:col>8</xdr:col>
      <xdr:colOff>556560</xdr:colOff>
      <xdr:row>69</xdr:row>
      <xdr:rowOff>15120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6A34A"/>
  </sheetPr>
  <dimension ref="A1:A27"/>
  <sheetViews>
    <sheetView tabSelected="1" zoomScaleNormal="100" workbookViewId="0">
      <selection activeCell="A46" sqref="A46"/>
    </sheetView>
  </sheetViews>
  <sheetFormatPr baseColWidth="10" defaultColWidth="8.6640625" defaultRowHeight="15" x14ac:dyDescent="0.2"/>
  <cols>
    <col min="1" max="1" width="100" customWidth="1"/>
  </cols>
  <sheetData>
    <row r="1" spans="1:1" ht="18" x14ac:dyDescent="0.2">
      <c r="A1" s="7" t="s">
        <v>119</v>
      </c>
    </row>
    <row r="3" spans="1:1" x14ac:dyDescent="0.2">
      <c r="A3" s="8" t="s">
        <v>120</v>
      </c>
    </row>
    <row r="4" spans="1:1" x14ac:dyDescent="0.2">
      <c r="A4" s="22" t="s">
        <v>121</v>
      </c>
    </row>
    <row r="6" spans="1:1" x14ac:dyDescent="0.2">
      <c r="A6" s="8" t="s">
        <v>122</v>
      </c>
    </row>
    <row r="7" spans="1:1" x14ac:dyDescent="0.2">
      <c r="A7" s="22" t="s">
        <v>123</v>
      </c>
    </row>
    <row r="9" spans="1:1" x14ac:dyDescent="0.2">
      <c r="A9" s="8" t="s">
        <v>124</v>
      </c>
    </row>
    <row r="10" spans="1:1" x14ac:dyDescent="0.2">
      <c r="A10" s="22" t="s">
        <v>125</v>
      </c>
    </row>
    <row r="12" spans="1:1" x14ac:dyDescent="0.2">
      <c r="A12" s="8" t="s">
        <v>126</v>
      </c>
    </row>
    <row r="13" spans="1:1" x14ac:dyDescent="0.2">
      <c r="A13" s="22" t="s">
        <v>127</v>
      </c>
    </row>
    <row r="15" spans="1:1" x14ac:dyDescent="0.2">
      <c r="A15" s="8" t="s">
        <v>128</v>
      </c>
    </row>
    <row r="16" spans="1:1" x14ac:dyDescent="0.2">
      <c r="A16" s="22" t="s">
        <v>129</v>
      </c>
    </row>
    <row r="18" spans="1:1" x14ac:dyDescent="0.2">
      <c r="A18" s="8" t="s">
        <v>130</v>
      </c>
    </row>
    <row r="19" spans="1:1" x14ac:dyDescent="0.2">
      <c r="A19" s="22" t="s">
        <v>131</v>
      </c>
    </row>
    <row r="21" spans="1:1" x14ac:dyDescent="0.2">
      <c r="A21" s="8" t="s">
        <v>132</v>
      </c>
    </row>
    <row r="22" spans="1:1" x14ac:dyDescent="0.2">
      <c r="A22" s="22" t="s">
        <v>133</v>
      </c>
    </row>
    <row r="24" spans="1:1" x14ac:dyDescent="0.2">
      <c r="A24" s="8" t="s">
        <v>134</v>
      </c>
    </row>
    <row r="25" spans="1:1" x14ac:dyDescent="0.2">
      <c r="A25" s="22" t="s">
        <v>135</v>
      </c>
    </row>
    <row r="27" spans="1:1" x14ac:dyDescent="0.2">
      <c r="A27" s="16" t="s">
        <v>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3A5F"/>
  </sheetPr>
  <dimension ref="A1:F31"/>
  <sheetViews>
    <sheetView zoomScaleNormal="100" workbookViewId="0">
      <selection sqref="A1:F1"/>
    </sheetView>
  </sheetViews>
  <sheetFormatPr baseColWidth="10" defaultColWidth="8.6640625" defaultRowHeight="15" x14ac:dyDescent="0.2"/>
  <cols>
    <col min="1" max="1" width="18" customWidth="1"/>
    <col min="2" max="2" width="16" customWidth="1"/>
    <col min="3" max="3" width="42" customWidth="1"/>
    <col min="4" max="4" width="14" customWidth="1"/>
  </cols>
  <sheetData>
    <row r="1" spans="1:6" ht="18" x14ac:dyDescent="0.2">
      <c r="A1" s="6" t="s">
        <v>0</v>
      </c>
      <c r="B1" s="6"/>
      <c r="C1" s="6"/>
      <c r="D1" s="6"/>
      <c r="E1" s="6"/>
      <c r="F1" s="6"/>
    </row>
    <row r="2" spans="1:6" x14ac:dyDescent="0.2">
      <c r="A2" s="5" t="s">
        <v>1</v>
      </c>
      <c r="B2" s="5"/>
      <c r="C2" s="5"/>
      <c r="D2" s="5"/>
      <c r="E2" s="5"/>
      <c r="F2" s="5"/>
    </row>
    <row r="4" spans="1:6" x14ac:dyDescent="0.2">
      <c r="A4" s="8" t="s">
        <v>2</v>
      </c>
      <c r="B4" s="9" t="s">
        <v>3</v>
      </c>
      <c r="C4" s="10" t="s">
        <v>4</v>
      </c>
    </row>
    <row r="6" spans="1:6" x14ac:dyDescent="0.2">
      <c r="A6" s="4" t="s">
        <v>5</v>
      </c>
      <c r="B6" s="4"/>
      <c r="C6" s="4"/>
      <c r="D6" s="4"/>
    </row>
    <row r="7" spans="1:6" x14ac:dyDescent="0.2">
      <c r="A7" s="11" t="s">
        <v>6</v>
      </c>
      <c r="B7" s="11" t="s">
        <v>7</v>
      </c>
      <c r="C7" s="11" t="s">
        <v>8</v>
      </c>
      <c r="D7" s="11" t="s">
        <v>9</v>
      </c>
    </row>
    <row r="8" spans="1:6" x14ac:dyDescent="0.2">
      <c r="A8" s="12" t="s">
        <v>10</v>
      </c>
      <c r="B8" s="12">
        <f>IF(B4="Weekly",5,IF(B4="Biweekly",10,22))</f>
        <v>10</v>
      </c>
      <c r="C8" s="12">
        <v>0.28100000000000003</v>
      </c>
      <c r="D8" s="12">
        <v>0.95699999999999996</v>
      </c>
    </row>
    <row r="9" spans="1:6" x14ac:dyDescent="0.2">
      <c r="A9" s="13" t="s">
        <v>11</v>
      </c>
      <c r="B9" s="13">
        <f>IF(B4="Weekly",10,IF(B4="Biweekly",21,45))</f>
        <v>21</v>
      </c>
      <c r="C9" s="13">
        <v>0.47499999999999998</v>
      </c>
      <c r="D9" s="13">
        <v>0.91700000000000004</v>
      </c>
    </row>
    <row r="10" spans="1:6" x14ac:dyDescent="0.2">
      <c r="A10" s="12" t="s">
        <v>12</v>
      </c>
      <c r="B10" s="12">
        <f>IF(B4="Weekly",21,IF(B4="Biweekly",42,90))</f>
        <v>42</v>
      </c>
      <c r="C10" s="12">
        <v>0.7</v>
      </c>
      <c r="D10" s="12">
        <v>0.84</v>
      </c>
    </row>
    <row r="11" spans="1:6" x14ac:dyDescent="0.2">
      <c r="A11" s="13" t="s">
        <v>13</v>
      </c>
      <c r="B11" s="13" t="s">
        <v>14</v>
      </c>
      <c r="C11" s="13">
        <v>0.8</v>
      </c>
      <c r="D11" s="13">
        <v>0.77</v>
      </c>
    </row>
    <row r="13" spans="1:6" x14ac:dyDescent="0.2">
      <c r="A13" s="4" t="s">
        <v>15</v>
      </c>
      <c r="B13" s="4"/>
      <c r="C13" s="4"/>
      <c r="D13" s="4"/>
    </row>
    <row r="14" spans="1:6" x14ac:dyDescent="0.2">
      <c r="A14" s="11" t="s">
        <v>16</v>
      </c>
      <c r="B14" s="11" t="s">
        <v>17</v>
      </c>
      <c r="C14" s="11" t="s">
        <v>18</v>
      </c>
    </row>
    <row r="15" spans="1:6" x14ac:dyDescent="0.2">
      <c r="A15" s="13" t="s">
        <v>19</v>
      </c>
      <c r="B15" s="13">
        <v>5</v>
      </c>
      <c r="C15" s="14" t="s">
        <v>20</v>
      </c>
    </row>
    <row r="16" spans="1:6" x14ac:dyDescent="0.2">
      <c r="A16" s="12" t="s">
        <v>21</v>
      </c>
      <c r="B16" s="12">
        <v>0.7</v>
      </c>
      <c r="C16" s="15" t="s">
        <v>22</v>
      </c>
    </row>
    <row r="17" spans="1:6" x14ac:dyDescent="0.2">
      <c r="A17" s="13" t="s">
        <v>23</v>
      </c>
      <c r="B17" s="13">
        <v>0.5</v>
      </c>
      <c r="C17" s="14" t="s">
        <v>24</v>
      </c>
    </row>
    <row r="18" spans="1:6" x14ac:dyDescent="0.2">
      <c r="A18" s="12" t="s">
        <v>25</v>
      </c>
      <c r="B18" s="12">
        <v>7.07</v>
      </c>
      <c r="C18" s="15" t="s">
        <v>26</v>
      </c>
    </row>
    <row r="19" spans="1:6" x14ac:dyDescent="0.2">
      <c r="A19" s="13" t="s">
        <v>27</v>
      </c>
      <c r="B19" s="13">
        <v>1</v>
      </c>
      <c r="C19" s="14" t="s">
        <v>28</v>
      </c>
    </row>
    <row r="20" spans="1:6" x14ac:dyDescent="0.2">
      <c r="A20" s="12" t="s">
        <v>29</v>
      </c>
      <c r="B20" s="12">
        <v>14.14</v>
      </c>
      <c r="C20" s="15" t="s">
        <v>30</v>
      </c>
    </row>
    <row r="22" spans="1:6" x14ac:dyDescent="0.2">
      <c r="A22" s="4" t="s">
        <v>31</v>
      </c>
      <c r="B22" s="4"/>
      <c r="C22" s="4"/>
      <c r="D22" s="4"/>
    </row>
    <row r="23" spans="1:6" x14ac:dyDescent="0.2">
      <c r="A23" s="11" t="s">
        <v>32</v>
      </c>
      <c r="B23" s="11" t="s">
        <v>33</v>
      </c>
      <c r="C23" s="11" t="s">
        <v>34</v>
      </c>
    </row>
    <row r="24" spans="1:6" x14ac:dyDescent="0.2">
      <c r="A24" s="12">
        <v>0</v>
      </c>
      <c r="B24" s="15" t="s">
        <v>35</v>
      </c>
      <c r="C24" s="15" t="s">
        <v>36</v>
      </c>
    </row>
    <row r="25" spans="1:6" x14ac:dyDescent="0.2">
      <c r="A25" s="13">
        <v>1</v>
      </c>
      <c r="B25" s="14" t="s">
        <v>37</v>
      </c>
      <c r="C25" s="14" t="s">
        <v>37</v>
      </c>
    </row>
    <row r="26" spans="1:6" x14ac:dyDescent="0.2">
      <c r="A26" s="12">
        <v>2</v>
      </c>
      <c r="B26" s="15" t="s">
        <v>38</v>
      </c>
      <c r="C26" s="15" t="s">
        <v>38</v>
      </c>
    </row>
    <row r="27" spans="1:6" x14ac:dyDescent="0.2">
      <c r="A27" s="13">
        <v>3</v>
      </c>
      <c r="B27" s="14" t="s">
        <v>39</v>
      </c>
      <c r="C27" s="14" t="s">
        <v>39</v>
      </c>
    </row>
    <row r="28" spans="1:6" x14ac:dyDescent="0.2">
      <c r="A28" s="12">
        <v>4</v>
      </c>
      <c r="B28" s="15" t="s">
        <v>40</v>
      </c>
      <c r="C28" s="15" t="s">
        <v>40</v>
      </c>
    </row>
    <row r="31" spans="1:6" x14ac:dyDescent="0.2">
      <c r="A31" s="3" t="s">
        <v>41</v>
      </c>
      <c r="B31" s="3"/>
      <c r="C31" s="3"/>
      <c r="D31" s="3"/>
      <c r="E31" s="3"/>
      <c r="F31" s="3"/>
    </row>
  </sheetData>
  <mergeCells count="6">
    <mergeCell ref="A31:F31"/>
    <mergeCell ref="A1:F1"/>
    <mergeCell ref="A2:F2"/>
    <mergeCell ref="A6:D6"/>
    <mergeCell ref="A13:D13"/>
    <mergeCell ref="A22:D2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40AF"/>
  </sheetPr>
  <dimension ref="A1:AD3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40" sqref="J40"/>
    </sheetView>
  </sheetViews>
  <sheetFormatPr baseColWidth="10" defaultColWidth="8.6640625" defaultRowHeight="15" x14ac:dyDescent="0.2"/>
  <cols>
    <col min="1" max="1" width="5" customWidth="1"/>
    <col min="2" max="2" width="8" customWidth="1"/>
    <col min="3" max="3" width="6" customWidth="1"/>
    <col min="4" max="4" width="9" customWidth="1"/>
    <col min="5" max="6" width="7" customWidth="1"/>
    <col min="7" max="17" width="5" customWidth="1"/>
    <col min="18" max="24" width="7" customWidth="1"/>
    <col min="25" max="25" width="6" customWidth="1"/>
    <col min="26" max="26" width="7" customWidth="1"/>
    <col min="27" max="27" width="16" customWidth="1"/>
    <col min="28" max="28" width="12" customWidth="1"/>
    <col min="29" max="29" width="9" customWidth="1"/>
    <col min="30" max="30" width="35" customWidth="1"/>
  </cols>
  <sheetData>
    <row r="1" spans="1:30" x14ac:dyDescent="0.2">
      <c r="A1" s="8" t="s">
        <v>42</v>
      </c>
      <c r="B1" s="9" t="s">
        <v>43</v>
      </c>
    </row>
    <row r="2" spans="1:30" ht="22.25" customHeight="1" x14ac:dyDescent="0.2">
      <c r="H2" s="2" t="s">
        <v>44</v>
      </c>
      <c r="I2" s="2"/>
      <c r="J2" s="2"/>
      <c r="K2" s="2"/>
      <c r="L2" s="2"/>
      <c r="M2" s="1" t="s">
        <v>45</v>
      </c>
      <c r="N2" s="1"/>
      <c r="O2" s="1"/>
      <c r="P2" s="1"/>
      <c r="Q2" s="1"/>
    </row>
    <row r="3" spans="1:30" x14ac:dyDescent="0.2">
      <c r="A3" s="11" t="s">
        <v>46</v>
      </c>
      <c r="B3" s="11" t="s">
        <v>47</v>
      </c>
      <c r="C3" s="11" t="s">
        <v>48</v>
      </c>
      <c r="D3" s="11" t="s">
        <v>49</v>
      </c>
      <c r="E3" s="11" t="s">
        <v>8</v>
      </c>
      <c r="F3" s="11" t="s">
        <v>9</v>
      </c>
      <c r="G3" s="11" t="s">
        <v>50</v>
      </c>
      <c r="H3" s="11" t="s">
        <v>51</v>
      </c>
      <c r="I3" s="11" t="s">
        <v>52</v>
      </c>
      <c r="J3" s="11" t="s">
        <v>53</v>
      </c>
      <c r="K3" s="11" t="s">
        <v>54</v>
      </c>
      <c r="L3" s="11" t="s">
        <v>55</v>
      </c>
      <c r="M3" s="11" t="s">
        <v>56</v>
      </c>
      <c r="N3" s="11" t="s">
        <v>57</v>
      </c>
      <c r="O3" s="11" t="s">
        <v>58</v>
      </c>
      <c r="P3" s="11" t="s">
        <v>59</v>
      </c>
      <c r="Q3" s="11" t="s">
        <v>60</v>
      </c>
      <c r="R3" s="11" t="s">
        <v>61</v>
      </c>
      <c r="S3" s="11" t="s">
        <v>62</v>
      </c>
      <c r="T3" s="11" t="s">
        <v>63</v>
      </c>
      <c r="U3" s="11" t="s">
        <v>64</v>
      </c>
      <c r="V3" s="11" t="s">
        <v>65</v>
      </c>
      <c r="W3" s="11" t="s">
        <v>66</v>
      </c>
      <c r="X3" s="11" t="s">
        <v>67</v>
      </c>
      <c r="Y3" s="11" t="s">
        <v>68</v>
      </c>
      <c r="Z3" s="11" t="s">
        <v>69</v>
      </c>
      <c r="AA3" s="11" t="s">
        <v>70</v>
      </c>
      <c r="AB3" s="11" t="s">
        <v>71</v>
      </c>
      <c r="AC3" s="11" t="s">
        <v>72</v>
      </c>
      <c r="AD3" s="11" t="s">
        <v>73</v>
      </c>
    </row>
    <row r="4" spans="1:30" x14ac:dyDescent="0.2">
      <c r="A4" s="12">
        <v>1</v>
      </c>
      <c r="B4" s="17">
        <v>0</v>
      </c>
      <c r="C4" s="12">
        <v>0</v>
      </c>
      <c r="D4" s="12" t="s">
        <v>74</v>
      </c>
      <c r="E4" s="18">
        <v>1</v>
      </c>
      <c r="F4" s="18">
        <v>1</v>
      </c>
      <c r="G4" s="17">
        <v>1</v>
      </c>
      <c r="H4" s="17">
        <v>1</v>
      </c>
      <c r="I4" s="17"/>
      <c r="J4" s="17"/>
      <c r="K4" s="17"/>
      <c r="L4" s="17"/>
      <c r="M4" s="17">
        <v>1</v>
      </c>
      <c r="N4" s="17"/>
      <c r="O4" s="17"/>
      <c r="P4" s="17"/>
      <c r="Q4" s="17"/>
      <c r="R4" s="18">
        <f t="shared" ref="R4:R33" si="0">IF(G4="","",2.5*AVERAGE(H4:L4))</f>
        <v>2.5</v>
      </c>
      <c r="S4" s="18">
        <f t="shared" ref="S4:S33" si="1">IF(G4="","",2.5*AVERAGE(M4:Q4))</f>
        <v>2.5</v>
      </c>
      <c r="T4" s="18">
        <f t="shared" ref="T4:T33" si="2">IF(G4="","",MIN(1,0.7+0.06*G4))</f>
        <v>0.76</v>
      </c>
      <c r="U4" s="18">
        <f t="shared" ref="U4:U33" si="3">IF(G4="","",E4*T4)</f>
        <v>0.76</v>
      </c>
      <c r="V4" s="18">
        <f>IF(R4="","",R4)</f>
        <v>2.5</v>
      </c>
      <c r="W4" s="18">
        <f>IF(S4="","",S4)</f>
        <v>2.5</v>
      </c>
      <c r="X4" s="19">
        <f t="shared" ref="X4:X33" si="4">IF(V4="","",SQRT(V4^2+W4^2))</f>
        <v>3.5355339059327378</v>
      </c>
      <c r="Y4" s="12" t="str">
        <f t="shared" ref="Y4:Y33" si="5">IF(X4="","",IF(X4&gt;=7.07,"YES",""))</f>
        <v/>
      </c>
      <c r="Z4" s="19">
        <f t="shared" ref="Z4:Z33" si="6">IF(X4="","",(X4/14.14)*LN(1+AC4))</f>
        <v>0.34662593474842546</v>
      </c>
      <c r="AA4" s="12" t="str">
        <f t="shared" ref="AA4:AA33" si="7">IF(V4="","",IF(AND(V4&lt;5,W4&lt;5),"Question Marks",IF(AND(V4&gt;=5,W4&lt;5),"Lit Fuses",IF(AND(V4&lt;5,W4&gt;=5),"Sleeping Cats","Owls"))))</f>
        <v>Question Marks</v>
      </c>
      <c r="AB4" s="17">
        <v>3</v>
      </c>
      <c r="AC4" s="12">
        <f>IF(AB4="","",AB4)</f>
        <v>3</v>
      </c>
      <c r="AD4" s="17" t="s">
        <v>75</v>
      </c>
    </row>
    <row r="5" spans="1:30" x14ac:dyDescent="0.2">
      <c r="A5" s="13">
        <v>2</v>
      </c>
      <c r="B5" s="17">
        <v>14</v>
      </c>
      <c r="C5" s="13">
        <f t="shared" ref="C5:C33" si="8">IF(B5="","",B5-B4)</f>
        <v>14</v>
      </c>
      <c r="D5" s="13" t="str">
        <f>IF(C5="","",IF(C5&lt;=Config!B8,"early",IF(C5&lt;=Config!B9,"normal",IF(C5&lt;=Config!B10,"missed1","missed2"))))</f>
        <v>normal</v>
      </c>
      <c r="E5" s="20">
        <f t="shared" ref="E5:E33" si="9">IF(D5="","",IF(D5="early",0.281,IF(D5="normal",0.475,IF(D5="missed1",0.7,0.8))))</f>
        <v>0.47499999999999998</v>
      </c>
      <c r="F5" s="20">
        <f t="shared" ref="F5:F33" si="10">IF(D5="","",IF(D5="early",0.957,IF(D5="normal",0.917,IF(D5="missed1",0.84,0.77))))</f>
        <v>0.91700000000000004</v>
      </c>
      <c r="G5" s="17">
        <v>1</v>
      </c>
      <c r="H5" s="17">
        <v>1</v>
      </c>
      <c r="I5" s="17"/>
      <c r="J5" s="17"/>
      <c r="K5" s="17"/>
      <c r="L5" s="17"/>
      <c r="M5" s="17">
        <v>1</v>
      </c>
      <c r="N5" s="17"/>
      <c r="O5" s="17"/>
      <c r="P5" s="17"/>
      <c r="Q5" s="17"/>
      <c r="R5" s="20">
        <f t="shared" si="0"/>
        <v>2.5</v>
      </c>
      <c r="S5" s="20">
        <f t="shared" si="1"/>
        <v>2.5</v>
      </c>
      <c r="T5" s="20">
        <f t="shared" si="2"/>
        <v>0.76</v>
      </c>
      <c r="U5" s="20">
        <f t="shared" si="3"/>
        <v>0.36099999999999999</v>
      </c>
      <c r="V5" s="20">
        <f t="shared" ref="V5:V33" si="11">IF(R5="","",V4+U5*(R5-V4))</f>
        <v>2.5</v>
      </c>
      <c r="W5" s="20">
        <f t="shared" ref="W5:W33" si="12">IF(S5="","",MAX(0.5,W4*F5+U5*(S5-W4*F5)))</f>
        <v>2.3674075000000001</v>
      </c>
      <c r="X5" s="21">
        <f t="shared" si="4"/>
        <v>3.4430536259338527</v>
      </c>
      <c r="Y5" s="13" t="str">
        <f t="shared" si="5"/>
        <v/>
      </c>
      <c r="Z5" s="21">
        <f t="shared" si="6"/>
        <v>0.39189399152203952</v>
      </c>
      <c r="AA5" s="13" t="str">
        <f t="shared" si="7"/>
        <v>Question Marks</v>
      </c>
      <c r="AB5" s="17">
        <v>1</v>
      </c>
      <c r="AC5" s="13">
        <f t="shared" ref="AC5:AC33" si="13">IF(AB5="","",AC4+AB5)</f>
        <v>4</v>
      </c>
      <c r="AD5" s="17" t="s">
        <v>76</v>
      </c>
    </row>
    <row r="6" spans="1:30" x14ac:dyDescent="0.2">
      <c r="A6" s="12">
        <v>3</v>
      </c>
      <c r="B6" s="17">
        <v>28</v>
      </c>
      <c r="C6" s="12">
        <f t="shared" si="8"/>
        <v>14</v>
      </c>
      <c r="D6" s="12" t="str">
        <f>IF(C6="","",IF(C6&lt;=Config!B8,"early",IF(C6&lt;=Config!B9,"normal",IF(C6&lt;=Config!B10,"missed1","missed2"))))</f>
        <v>normal</v>
      </c>
      <c r="E6" s="18">
        <f t="shared" si="9"/>
        <v>0.47499999999999998</v>
      </c>
      <c r="F6" s="18">
        <f t="shared" si="10"/>
        <v>0.91700000000000004</v>
      </c>
      <c r="G6" s="17">
        <v>2</v>
      </c>
      <c r="H6" s="17">
        <v>1</v>
      </c>
      <c r="I6" s="17">
        <v>1</v>
      </c>
      <c r="J6" s="17"/>
      <c r="K6" s="17"/>
      <c r="L6" s="17"/>
      <c r="M6" s="17">
        <v>2</v>
      </c>
      <c r="N6" s="17">
        <v>2</v>
      </c>
      <c r="O6" s="17"/>
      <c r="P6" s="17"/>
      <c r="Q6" s="17"/>
      <c r="R6" s="18">
        <f t="shared" si="0"/>
        <v>2.5</v>
      </c>
      <c r="S6" s="18">
        <f t="shared" si="1"/>
        <v>5</v>
      </c>
      <c r="T6" s="18">
        <f t="shared" si="2"/>
        <v>0.82</v>
      </c>
      <c r="U6" s="18">
        <f t="shared" si="3"/>
        <v>0.38949999999999996</v>
      </c>
      <c r="V6" s="18">
        <f t="shared" si="11"/>
        <v>2.5</v>
      </c>
      <c r="W6" s="18">
        <f t="shared" si="12"/>
        <v>3.2728421896137498</v>
      </c>
      <c r="X6" s="19">
        <f t="shared" si="4"/>
        <v>4.1184336826171819</v>
      </c>
      <c r="Y6" s="12" t="str">
        <f t="shared" si="5"/>
        <v/>
      </c>
      <c r="Z6" s="19">
        <f t="shared" si="6"/>
        <v>0.52187005298565092</v>
      </c>
      <c r="AA6" s="12" t="str">
        <f t="shared" si="7"/>
        <v>Question Marks</v>
      </c>
      <c r="AB6" s="17">
        <v>1</v>
      </c>
      <c r="AC6" s="12">
        <f t="shared" si="13"/>
        <v>5</v>
      </c>
      <c r="AD6" s="17" t="s">
        <v>77</v>
      </c>
    </row>
    <row r="7" spans="1:30" x14ac:dyDescent="0.2">
      <c r="A7" s="13">
        <v>4</v>
      </c>
      <c r="B7" s="17">
        <v>42</v>
      </c>
      <c r="C7" s="13">
        <f t="shared" si="8"/>
        <v>14</v>
      </c>
      <c r="D7" s="13" t="str">
        <f>IF(C7="","",IF(C7&lt;=Config!B8,"early",IF(C7&lt;=Config!B9,"normal",IF(C7&lt;=Config!B10,"missed1","missed2"))))</f>
        <v>normal</v>
      </c>
      <c r="E7" s="20">
        <f t="shared" si="9"/>
        <v>0.47499999999999998</v>
      </c>
      <c r="F7" s="20">
        <f t="shared" si="10"/>
        <v>0.91700000000000004</v>
      </c>
      <c r="G7" s="17">
        <v>3</v>
      </c>
      <c r="H7" s="17">
        <v>2</v>
      </c>
      <c r="I7" s="17">
        <v>2</v>
      </c>
      <c r="J7" s="17">
        <v>2</v>
      </c>
      <c r="K7" s="17"/>
      <c r="L7" s="17"/>
      <c r="M7" s="17">
        <v>2</v>
      </c>
      <c r="N7" s="17">
        <v>2</v>
      </c>
      <c r="O7" s="17">
        <v>2</v>
      </c>
      <c r="P7" s="17"/>
      <c r="Q7" s="17"/>
      <c r="R7" s="20">
        <f t="shared" si="0"/>
        <v>5</v>
      </c>
      <c r="S7" s="20">
        <f t="shared" si="1"/>
        <v>5</v>
      </c>
      <c r="T7" s="20">
        <f t="shared" si="2"/>
        <v>0.87999999999999989</v>
      </c>
      <c r="U7" s="20">
        <f t="shared" si="3"/>
        <v>0.41799999999999993</v>
      </c>
      <c r="V7" s="20">
        <f t="shared" si="11"/>
        <v>3.5449999999999999</v>
      </c>
      <c r="W7" s="20">
        <f t="shared" si="12"/>
        <v>3.8366962395437207</v>
      </c>
      <c r="X7" s="21">
        <f t="shared" si="4"/>
        <v>5.223721186522968</v>
      </c>
      <c r="Y7" s="13" t="str">
        <f t="shared" si="5"/>
        <v/>
      </c>
      <c r="Z7" s="21">
        <f t="shared" si="6"/>
        <v>0.76820529260317827</v>
      </c>
      <c r="AA7" s="13" t="str">
        <f t="shared" si="7"/>
        <v>Question Marks</v>
      </c>
      <c r="AB7" s="17">
        <v>2</v>
      </c>
      <c r="AC7" s="13">
        <f t="shared" si="13"/>
        <v>7</v>
      </c>
      <c r="AD7" s="17" t="s">
        <v>78</v>
      </c>
    </row>
    <row r="8" spans="1:30" x14ac:dyDescent="0.2">
      <c r="A8" s="12">
        <v>5</v>
      </c>
      <c r="B8" s="17">
        <v>49</v>
      </c>
      <c r="C8" s="12">
        <f t="shared" si="8"/>
        <v>7</v>
      </c>
      <c r="D8" s="12" t="str">
        <f>IF(C8="","",IF(C8&lt;=Config!B8,"early",IF(C8&lt;=Config!B9,"normal",IF(C8&lt;=Config!B10,"missed1","missed2"))))</f>
        <v>early</v>
      </c>
      <c r="E8" s="18">
        <f t="shared" si="9"/>
        <v>0.28100000000000003</v>
      </c>
      <c r="F8" s="18">
        <f t="shared" si="10"/>
        <v>0.95699999999999996</v>
      </c>
      <c r="G8" s="17">
        <v>2</v>
      </c>
      <c r="H8" s="17">
        <v>3</v>
      </c>
      <c r="I8" s="17">
        <v>3</v>
      </c>
      <c r="J8" s="17"/>
      <c r="K8" s="17"/>
      <c r="L8" s="17"/>
      <c r="M8" s="17">
        <v>1</v>
      </c>
      <c r="N8" s="17">
        <v>1</v>
      </c>
      <c r="O8" s="17"/>
      <c r="P8" s="17"/>
      <c r="Q8" s="17"/>
      <c r="R8" s="18">
        <f t="shared" si="0"/>
        <v>7.5</v>
      </c>
      <c r="S8" s="18">
        <f t="shared" si="1"/>
        <v>2.5</v>
      </c>
      <c r="T8" s="18">
        <f t="shared" si="2"/>
        <v>0.82</v>
      </c>
      <c r="U8" s="18">
        <f t="shared" si="3"/>
        <v>0.23042000000000001</v>
      </c>
      <c r="V8" s="18">
        <f t="shared" si="11"/>
        <v>4.4563110999999997</v>
      </c>
      <c r="W8" s="18">
        <f t="shared" si="12"/>
        <v>3.40173097027085</v>
      </c>
      <c r="X8" s="19">
        <f t="shared" si="4"/>
        <v>5.6062895228558318</v>
      </c>
      <c r="Y8" s="12" t="str">
        <f t="shared" si="5"/>
        <v/>
      </c>
      <c r="Z8" s="19">
        <f t="shared" si="6"/>
        <v>0.91293908644529986</v>
      </c>
      <c r="AA8" s="12" t="str">
        <f t="shared" si="7"/>
        <v>Question Marks</v>
      </c>
      <c r="AB8" s="17">
        <v>2</v>
      </c>
      <c r="AC8" s="12">
        <f t="shared" si="13"/>
        <v>9</v>
      </c>
      <c r="AD8" s="17" t="s">
        <v>79</v>
      </c>
    </row>
    <row r="9" spans="1:30" x14ac:dyDescent="0.2">
      <c r="A9" s="13">
        <v>6</v>
      </c>
      <c r="B9" s="17">
        <v>63</v>
      </c>
      <c r="C9" s="13">
        <f t="shared" si="8"/>
        <v>14</v>
      </c>
      <c r="D9" s="13" t="str">
        <f>IF(C9="","",IF(C9&lt;=Config!B8,"early",IF(C9&lt;=Config!B9,"normal",IF(C9&lt;=Config!B10,"missed1","missed2"))))</f>
        <v>normal</v>
      </c>
      <c r="E9" s="20">
        <f t="shared" si="9"/>
        <v>0.47499999999999998</v>
      </c>
      <c r="F9" s="20">
        <f t="shared" si="10"/>
        <v>0.91700000000000004</v>
      </c>
      <c r="G9" s="17">
        <v>3</v>
      </c>
      <c r="H9" s="17">
        <v>4</v>
      </c>
      <c r="I9" s="17">
        <v>4</v>
      </c>
      <c r="J9" s="17">
        <v>4</v>
      </c>
      <c r="K9" s="17"/>
      <c r="L9" s="17"/>
      <c r="M9" s="17">
        <v>1</v>
      </c>
      <c r="N9" s="17">
        <v>1</v>
      </c>
      <c r="O9" s="17">
        <v>1</v>
      </c>
      <c r="P9" s="17"/>
      <c r="Q9" s="17"/>
      <c r="R9" s="20">
        <f t="shared" si="0"/>
        <v>10</v>
      </c>
      <c r="S9" s="20">
        <f t="shared" si="1"/>
        <v>2.5</v>
      </c>
      <c r="T9" s="20">
        <f t="shared" si="2"/>
        <v>0.87999999999999989</v>
      </c>
      <c r="U9" s="20">
        <f t="shared" si="3"/>
        <v>0.41799999999999993</v>
      </c>
      <c r="V9" s="20">
        <f t="shared" si="11"/>
        <v>6.7735730601999995</v>
      </c>
      <c r="W9" s="20">
        <f t="shared" si="12"/>
        <v>2.8604834084477311</v>
      </c>
      <c r="X9" s="21">
        <f t="shared" si="4"/>
        <v>7.3527992854335373</v>
      </c>
      <c r="Y9" s="13" t="str">
        <f t="shared" si="5"/>
        <v>YES</v>
      </c>
      <c r="Z9" s="21">
        <f t="shared" si="6"/>
        <v>1.3337735362599998</v>
      </c>
      <c r="AA9" s="13" t="str">
        <f t="shared" si="7"/>
        <v>Lit Fuses</v>
      </c>
      <c r="AB9" s="17">
        <v>3</v>
      </c>
      <c r="AC9" s="13">
        <f t="shared" si="13"/>
        <v>12</v>
      </c>
      <c r="AD9" s="17" t="s">
        <v>80</v>
      </c>
    </row>
    <row r="10" spans="1:30" x14ac:dyDescent="0.2">
      <c r="A10" s="12">
        <v>7</v>
      </c>
      <c r="B10" s="17">
        <v>70</v>
      </c>
      <c r="C10" s="12">
        <f t="shared" si="8"/>
        <v>7</v>
      </c>
      <c r="D10" s="12" t="str">
        <f>IF(C10="","",IF(C10&lt;=Config!B8,"early",IF(C10&lt;=Config!B9,"normal",IF(C10&lt;=Config!B10,"missed1","missed2"))))</f>
        <v>early</v>
      </c>
      <c r="E10" s="18">
        <f t="shared" si="9"/>
        <v>0.28100000000000003</v>
      </c>
      <c r="F10" s="18">
        <f t="shared" si="10"/>
        <v>0.95699999999999996</v>
      </c>
      <c r="G10" s="17">
        <v>3</v>
      </c>
      <c r="H10" s="17">
        <v>3</v>
      </c>
      <c r="I10" s="17">
        <v>3</v>
      </c>
      <c r="J10" s="17">
        <v>3</v>
      </c>
      <c r="K10" s="17"/>
      <c r="L10" s="17"/>
      <c r="M10" s="17">
        <v>2</v>
      </c>
      <c r="N10" s="17">
        <v>2</v>
      </c>
      <c r="O10" s="17">
        <v>2</v>
      </c>
      <c r="P10" s="17"/>
      <c r="Q10" s="17"/>
      <c r="R10" s="18">
        <f t="shared" si="0"/>
        <v>7.5</v>
      </c>
      <c r="S10" s="18">
        <f t="shared" si="1"/>
        <v>5</v>
      </c>
      <c r="T10" s="18">
        <f t="shared" si="2"/>
        <v>0.87999999999999989</v>
      </c>
      <c r="U10" s="18">
        <f t="shared" si="3"/>
        <v>0.24728</v>
      </c>
      <c r="V10" s="18">
        <f t="shared" si="11"/>
        <v>6.953203913873744</v>
      </c>
      <c r="W10" s="18">
        <f t="shared" si="12"/>
        <v>3.2969579191448846</v>
      </c>
      <c r="X10" s="19">
        <f t="shared" si="4"/>
        <v>7.6952567331130233</v>
      </c>
      <c r="Y10" s="12" t="str">
        <f t="shared" si="5"/>
        <v>YES</v>
      </c>
      <c r="Z10" s="19">
        <f t="shared" si="6"/>
        <v>1.5088954761647035</v>
      </c>
      <c r="AA10" s="12" t="str">
        <f t="shared" si="7"/>
        <v>Lit Fuses</v>
      </c>
      <c r="AB10" s="17">
        <v>3</v>
      </c>
      <c r="AC10" s="12">
        <f t="shared" si="13"/>
        <v>15</v>
      </c>
      <c r="AD10" s="17" t="s">
        <v>81</v>
      </c>
    </row>
    <row r="11" spans="1:30" x14ac:dyDescent="0.2">
      <c r="A11" s="13">
        <v>8</v>
      </c>
      <c r="B11" s="17">
        <v>77</v>
      </c>
      <c r="C11" s="13">
        <f t="shared" si="8"/>
        <v>7</v>
      </c>
      <c r="D11" s="13" t="str">
        <f>IF(C11="","",IF(C11&lt;=Config!B8,"early",IF(C11&lt;=Config!B9,"normal",IF(C11&lt;=Config!B10,"missed1","missed2"))))</f>
        <v>early</v>
      </c>
      <c r="E11" s="20">
        <f t="shared" si="9"/>
        <v>0.28100000000000003</v>
      </c>
      <c r="F11" s="20">
        <f t="shared" si="10"/>
        <v>0.95699999999999996</v>
      </c>
      <c r="G11" s="17">
        <v>3</v>
      </c>
      <c r="H11" s="17">
        <v>4</v>
      </c>
      <c r="I11" s="17">
        <v>4</v>
      </c>
      <c r="J11" s="17">
        <v>4</v>
      </c>
      <c r="K11" s="17"/>
      <c r="L11" s="17"/>
      <c r="M11" s="17">
        <v>1</v>
      </c>
      <c r="N11" s="17">
        <v>1</v>
      </c>
      <c r="O11" s="17">
        <v>1</v>
      </c>
      <c r="P11" s="17"/>
      <c r="Q11" s="17"/>
      <c r="R11" s="20">
        <f t="shared" si="0"/>
        <v>10</v>
      </c>
      <c r="S11" s="20">
        <f t="shared" si="1"/>
        <v>2.5</v>
      </c>
      <c r="T11" s="20">
        <f t="shared" si="2"/>
        <v>0.87999999999999989</v>
      </c>
      <c r="U11" s="20">
        <f t="shared" si="3"/>
        <v>0.24728</v>
      </c>
      <c r="V11" s="20">
        <f t="shared" si="11"/>
        <v>7.7066156500510443</v>
      </c>
      <c r="W11" s="20">
        <f t="shared" si="12"/>
        <v>2.9931736598080918</v>
      </c>
      <c r="X11" s="21">
        <f t="shared" si="4"/>
        <v>8.2674671656669219</v>
      </c>
      <c r="Y11" s="13" t="str">
        <f t="shared" si="5"/>
        <v>YES</v>
      </c>
      <c r="Z11" s="21">
        <f t="shared" si="6"/>
        <v>1.7515642297550451</v>
      </c>
      <c r="AA11" s="13" t="str">
        <f t="shared" si="7"/>
        <v>Lit Fuses</v>
      </c>
      <c r="AB11" s="17">
        <v>4</v>
      </c>
      <c r="AC11" s="13">
        <f t="shared" si="13"/>
        <v>19</v>
      </c>
      <c r="AD11" s="17" t="s">
        <v>82</v>
      </c>
    </row>
    <row r="12" spans="1:30" x14ac:dyDescent="0.2">
      <c r="A12" s="12">
        <v>9</v>
      </c>
      <c r="B12" s="17">
        <v>91</v>
      </c>
      <c r="C12" s="12">
        <f t="shared" si="8"/>
        <v>14</v>
      </c>
      <c r="D12" s="12" t="str">
        <f>IF(C12="","",IF(C12&lt;=Config!B8,"early",IF(C12&lt;=Config!B9,"normal",IF(C12&lt;=Config!B10,"missed1","missed2"))))</f>
        <v>normal</v>
      </c>
      <c r="E12" s="18">
        <f t="shared" si="9"/>
        <v>0.47499999999999998</v>
      </c>
      <c r="F12" s="18">
        <f t="shared" si="10"/>
        <v>0.91700000000000004</v>
      </c>
      <c r="G12" s="17">
        <v>3</v>
      </c>
      <c r="H12" s="17">
        <v>3</v>
      </c>
      <c r="I12" s="17">
        <v>3</v>
      </c>
      <c r="J12" s="17">
        <v>3</v>
      </c>
      <c r="K12" s="17"/>
      <c r="L12" s="17"/>
      <c r="M12" s="17">
        <v>2</v>
      </c>
      <c r="N12" s="17">
        <v>2</v>
      </c>
      <c r="O12" s="17">
        <v>2</v>
      </c>
      <c r="P12" s="17"/>
      <c r="Q12" s="17"/>
      <c r="R12" s="18">
        <f t="shared" si="0"/>
        <v>7.5</v>
      </c>
      <c r="S12" s="18">
        <f t="shared" si="1"/>
        <v>5</v>
      </c>
      <c r="T12" s="18">
        <f t="shared" si="2"/>
        <v>0.87999999999999989</v>
      </c>
      <c r="U12" s="18">
        <f t="shared" si="3"/>
        <v>0.41799999999999993</v>
      </c>
      <c r="V12" s="18">
        <f t="shared" si="11"/>
        <v>7.620250308329708</v>
      </c>
      <c r="W12" s="18">
        <f t="shared" si="12"/>
        <v>3.6874388231976196</v>
      </c>
      <c r="X12" s="19">
        <f t="shared" si="4"/>
        <v>8.46554309164061</v>
      </c>
      <c r="Y12" s="12" t="str">
        <f t="shared" si="5"/>
        <v>YES</v>
      </c>
      <c r="Z12" s="19">
        <f t="shared" si="6"/>
        <v>1.9026839921049528</v>
      </c>
      <c r="AA12" s="12" t="str">
        <f t="shared" si="7"/>
        <v>Lit Fuses</v>
      </c>
      <c r="AB12" s="17">
        <v>4</v>
      </c>
      <c r="AC12" s="12">
        <f t="shared" si="13"/>
        <v>23</v>
      </c>
      <c r="AD12" s="17" t="s">
        <v>83</v>
      </c>
    </row>
    <row r="13" spans="1:30" x14ac:dyDescent="0.2">
      <c r="A13" s="13">
        <v>10</v>
      </c>
      <c r="B13" s="17">
        <v>98</v>
      </c>
      <c r="C13" s="13">
        <f t="shared" si="8"/>
        <v>7</v>
      </c>
      <c r="D13" s="13" t="str">
        <f>IF(C13="","",IF(C13&lt;=Config!B8,"early",IF(C13&lt;=Config!B9,"normal",IF(C13&lt;=Config!B10,"missed1","missed2"))))</f>
        <v>early</v>
      </c>
      <c r="E13" s="20">
        <f t="shared" si="9"/>
        <v>0.28100000000000003</v>
      </c>
      <c r="F13" s="20">
        <f t="shared" si="10"/>
        <v>0.95699999999999996</v>
      </c>
      <c r="G13" s="17">
        <v>3</v>
      </c>
      <c r="H13" s="17">
        <v>4</v>
      </c>
      <c r="I13" s="17">
        <v>4</v>
      </c>
      <c r="J13" s="17">
        <v>4</v>
      </c>
      <c r="K13" s="17"/>
      <c r="L13" s="17"/>
      <c r="M13" s="17">
        <v>2</v>
      </c>
      <c r="N13" s="17">
        <v>2</v>
      </c>
      <c r="O13" s="17">
        <v>2</v>
      </c>
      <c r="P13" s="17"/>
      <c r="Q13" s="17"/>
      <c r="R13" s="20">
        <f t="shared" si="0"/>
        <v>10</v>
      </c>
      <c r="S13" s="20">
        <f t="shared" si="1"/>
        <v>5</v>
      </c>
      <c r="T13" s="20">
        <f t="shared" si="2"/>
        <v>0.87999999999999989</v>
      </c>
      <c r="U13" s="20">
        <f t="shared" si="3"/>
        <v>0.24728</v>
      </c>
      <c r="V13" s="20">
        <f t="shared" si="11"/>
        <v>8.2087148120859386</v>
      </c>
      <c r="W13" s="20">
        <f t="shared" si="12"/>
        <v>3.8926577661044277</v>
      </c>
      <c r="X13" s="21">
        <f t="shared" si="4"/>
        <v>9.0849206573405024</v>
      </c>
      <c r="Y13" s="13" t="str">
        <f t="shared" si="5"/>
        <v>YES</v>
      </c>
      <c r="Z13" s="21">
        <f t="shared" si="6"/>
        <v>2.1409344829543069</v>
      </c>
      <c r="AA13" s="13" t="str">
        <f t="shared" si="7"/>
        <v>Lit Fuses</v>
      </c>
      <c r="AB13" s="17">
        <v>4</v>
      </c>
      <c r="AC13" s="13">
        <f t="shared" si="13"/>
        <v>27</v>
      </c>
      <c r="AD13" s="17" t="s">
        <v>84</v>
      </c>
    </row>
    <row r="14" spans="1:30" ht="28" x14ac:dyDescent="0.2">
      <c r="A14" s="12">
        <v>11</v>
      </c>
      <c r="B14" s="17">
        <v>105</v>
      </c>
      <c r="C14" s="12">
        <f t="shared" si="8"/>
        <v>7</v>
      </c>
      <c r="D14" s="12" t="str">
        <f>IF(C14="","",IF(C14&lt;=Config!B8,"early",IF(C14&lt;=Config!B9,"normal",IF(C14&lt;=Config!B10,"missed1","missed2"))))</f>
        <v>early</v>
      </c>
      <c r="E14" s="18">
        <f t="shared" si="9"/>
        <v>0.28100000000000003</v>
      </c>
      <c r="F14" s="18">
        <f t="shared" si="10"/>
        <v>0.95699999999999996</v>
      </c>
      <c r="G14" s="17">
        <v>4</v>
      </c>
      <c r="H14" s="17">
        <v>3</v>
      </c>
      <c r="I14" s="17">
        <v>3</v>
      </c>
      <c r="J14" s="17">
        <v>3</v>
      </c>
      <c r="K14" s="17">
        <v>3</v>
      </c>
      <c r="L14" s="17"/>
      <c r="M14" s="17">
        <v>3</v>
      </c>
      <c r="N14" s="17">
        <v>3</v>
      </c>
      <c r="O14" s="17">
        <v>3</v>
      </c>
      <c r="P14" s="17">
        <v>3</v>
      </c>
      <c r="Q14" s="17"/>
      <c r="R14" s="18">
        <f t="shared" si="0"/>
        <v>7.5</v>
      </c>
      <c r="S14" s="18">
        <f t="shared" si="1"/>
        <v>7.5</v>
      </c>
      <c r="T14" s="18">
        <f t="shared" si="2"/>
        <v>0.94</v>
      </c>
      <c r="U14" s="18">
        <f t="shared" si="3"/>
        <v>0.26413999999999999</v>
      </c>
      <c r="V14" s="18">
        <f t="shared" si="11"/>
        <v>8.0215148816215596</v>
      </c>
      <c r="W14" s="18">
        <f t="shared" si="12"/>
        <v>4.7223297445836829</v>
      </c>
      <c r="X14" s="19">
        <f t="shared" si="4"/>
        <v>9.3083349323418698</v>
      </c>
      <c r="Y14" s="12" t="str">
        <f t="shared" si="5"/>
        <v>YES</v>
      </c>
      <c r="Z14" s="19">
        <f t="shared" si="6"/>
        <v>2.3213963829785018</v>
      </c>
      <c r="AA14" s="12" t="str">
        <f t="shared" si="7"/>
        <v>Lit Fuses</v>
      </c>
      <c r="AB14" s="17">
        <v>6</v>
      </c>
      <c r="AC14" s="12">
        <f t="shared" si="13"/>
        <v>33</v>
      </c>
      <c r="AD14" s="17" t="s">
        <v>85</v>
      </c>
    </row>
    <row r="15" spans="1:30" ht="28" x14ac:dyDescent="0.2">
      <c r="A15" s="13">
        <v>12</v>
      </c>
      <c r="B15" s="17">
        <v>112</v>
      </c>
      <c r="C15" s="13">
        <f t="shared" si="8"/>
        <v>7</v>
      </c>
      <c r="D15" s="13" t="str">
        <f>IF(C15="","",IF(C15&lt;=Config!B8,"early",IF(C15&lt;=Config!B9,"normal",IF(C15&lt;=Config!B10,"missed1","missed2"))))</f>
        <v>early</v>
      </c>
      <c r="E15" s="20">
        <f t="shared" si="9"/>
        <v>0.28100000000000003</v>
      </c>
      <c r="F15" s="20">
        <f t="shared" si="10"/>
        <v>0.95699999999999996</v>
      </c>
      <c r="G15" s="17">
        <v>4</v>
      </c>
      <c r="H15" s="17">
        <v>4</v>
      </c>
      <c r="I15" s="17">
        <v>4</v>
      </c>
      <c r="J15" s="17">
        <v>4</v>
      </c>
      <c r="K15" s="17">
        <v>4</v>
      </c>
      <c r="L15" s="17"/>
      <c r="M15" s="17">
        <v>4</v>
      </c>
      <c r="N15" s="17">
        <v>4</v>
      </c>
      <c r="O15" s="17">
        <v>4</v>
      </c>
      <c r="P15" s="17">
        <v>4</v>
      </c>
      <c r="Q15" s="17"/>
      <c r="R15" s="20">
        <f t="shared" si="0"/>
        <v>10</v>
      </c>
      <c r="S15" s="20">
        <f t="shared" si="1"/>
        <v>10</v>
      </c>
      <c r="T15" s="20">
        <f t="shared" si="2"/>
        <v>0.94</v>
      </c>
      <c r="U15" s="20">
        <f t="shared" si="3"/>
        <v>0.26413999999999999</v>
      </c>
      <c r="V15" s="20">
        <f t="shared" si="11"/>
        <v>8.5441119407900405</v>
      </c>
      <c r="W15" s="20">
        <f t="shared" si="12"/>
        <v>5.9669497025178266</v>
      </c>
      <c r="X15" s="21">
        <f t="shared" si="4"/>
        <v>10.421436446533104</v>
      </c>
      <c r="Y15" s="13" t="str">
        <f t="shared" si="5"/>
        <v>YES</v>
      </c>
      <c r="Z15" s="21">
        <f t="shared" si="6"/>
        <v>2.7369699634214664</v>
      </c>
      <c r="AA15" s="13" t="str">
        <f t="shared" si="7"/>
        <v>Owls</v>
      </c>
      <c r="AB15" s="17">
        <v>7</v>
      </c>
      <c r="AC15" s="13">
        <f t="shared" si="13"/>
        <v>40</v>
      </c>
      <c r="AD15" s="17" t="s">
        <v>86</v>
      </c>
    </row>
    <row r="16" spans="1:30" x14ac:dyDescent="0.2">
      <c r="A16" s="12">
        <v>13</v>
      </c>
      <c r="B16" s="17">
        <v>119</v>
      </c>
      <c r="C16" s="12">
        <f t="shared" si="8"/>
        <v>7</v>
      </c>
      <c r="D16" s="12" t="str">
        <f>IF(C16="","",IF(C16&lt;=Config!B8,"early",IF(C16&lt;=Config!B9,"normal",IF(C16&lt;=Config!B10,"missed1","missed2"))))</f>
        <v>early</v>
      </c>
      <c r="E16" s="18">
        <f t="shared" si="9"/>
        <v>0.28100000000000003</v>
      </c>
      <c r="F16" s="18">
        <f t="shared" si="10"/>
        <v>0.95699999999999996</v>
      </c>
      <c r="G16" s="17">
        <v>5</v>
      </c>
      <c r="H16" s="17">
        <v>4</v>
      </c>
      <c r="I16" s="17">
        <v>4</v>
      </c>
      <c r="J16" s="17">
        <v>4</v>
      </c>
      <c r="K16" s="17">
        <v>4</v>
      </c>
      <c r="L16" s="17">
        <v>4</v>
      </c>
      <c r="M16" s="17">
        <v>4</v>
      </c>
      <c r="N16" s="17">
        <v>4</v>
      </c>
      <c r="O16" s="17">
        <v>4</v>
      </c>
      <c r="P16" s="17">
        <v>4</v>
      </c>
      <c r="Q16" s="17">
        <v>4</v>
      </c>
      <c r="R16" s="18">
        <f t="shared" si="0"/>
        <v>10</v>
      </c>
      <c r="S16" s="18">
        <f t="shared" si="1"/>
        <v>10</v>
      </c>
      <c r="T16" s="18">
        <f t="shared" si="2"/>
        <v>1</v>
      </c>
      <c r="U16" s="18">
        <f t="shared" si="3"/>
        <v>0.28100000000000003</v>
      </c>
      <c r="V16" s="18">
        <f t="shared" si="11"/>
        <v>8.9532164854280385</v>
      </c>
      <c r="W16" s="18">
        <f t="shared" si="12"/>
        <v>6.9157566521575742</v>
      </c>
      <c r="X16" s="19">
        <f t="shared" si="4"/>
        <v>11.313168234707824</v>
      </c>
      <c r="Y16" s="12" t="str">
        <f t="shared" si="5"/>
        <v>YES</v>
      </c>
      <c r="Z16" s="19">
        <f t="shared" si="6"/>
        <v>3.1137777773533428</v>
      </c>
      <c r="AA16" s="12" t="str">
        <f t="shared" si="7"/>
        <v>Owls</v>
      </c>
      <c r="AB16" s="17">
        <v>8</v>
      </c>
      <c r="AC16" s="12">
        <f t="shared" si="13"/>
        <v>48</v>
      </c>
      <c r="AD16" s="17" t="s">
        <v>87</v>
      </c>
    </row>
    <row r="17" spans="1:30" x14ac:dyDescent="0.2">
      <c r="A17" s="13">
        <v>14</v>
      </c>
      <c r="B17" s="17">
        <v>133</v>
      </c>
      <c r="C17" s="13">
        <f t="shared" si="8"/>
        <v>14</v>
      </c>
      <c r="D17" s="13" t="str">
        <f>IF(C17="","",IF(C17&lt;=Config!B8,"early",IF(C17&lt;=Config!B9,"normal",IF(C17&lt;=Config!B10,"missed1","missed2"))))</f>
        <v>normal</v>
      </c>
      <c r="E17" s="20">
        <f t="shared" si="9"/>
        <v>0.47499999999999998</v>
      </c>
      <c r="F17" s="20">
        <f t="shared" si="10"/>
        <v>0.91700000000000004</v>
      </c>
      <c r="G17" s="17">
        <v>5</v>
      </c>
      <c r="H17" s="17">
        <v>4</v>
      </c>
      <c r="I17" s="17">
        <v>4</v>
      </c>
      <c r="J17" s="17">
        <v>4</v>
      </c>
      <c r="K17" s="17">
        <v>4</v>
      </c>
      <c r="L17" s="17">
        <v>4</v>
      </c>
      <c r="M17" s="17">
        <v>3</v>
      </c>
      <c r="N17" s="17">
        <v>3</v>
      </c>
      <c r="O17" s="17">
        <v>3</v>
      </c>
      <c r="P17" s="17">
        <v>3</v>
      </c>
      <c r="Q17" s="17">
        <v>3</v>
      </c>
      <c r="R17" s="20">
        <f t="shared" si="0"/>
        <v>10</v>
      </c>
      <c r="S17" s="20">
        <f t="shared" si="1"/>
        <v>7.5</v>
      </c>
      <c r="T17" s="20">
        <f t="shared" si="2"/>
        <v>1</v>
      </c>
      <c r="U17" s="20">
        <f t="shared" si="3"/>
        <v>0.47499999999999998</v>
      </c>
      <c r="V17" s="20">
        <f t="shared" si="11"/>
        <v>9.4504386548497195</v>
      </c>
      <c r="W17" s="20">
        <f t="shared" si="12"/>
        <v>6.8919181462649597</v>
      </c>
      <c r="X17" s="21">
        <f t="shared" si="4"/>
        <v>11.696551906604528</v>
      </c>
      <c r="Y17" s="13" t="str">
        <f t="shared" si="5"/>
        <v>YES</v>
      </c>
      <c r="Z17" s="21">
        <f t="shared" si="6"/>
        <v>3.2842097207379499</v>
      </c>
      <c r="AA17" s="13" t="str">
        <f t="shared" si="7"/>
        <v>Owls</v>
      </c>
      <c r="AB17" s="17">
        <v>4</v>
      </c>
      <c r="AC17" s="13">
        <f t="shared" si="13"/>
        <v>52</v>
      </c>
      <c r="AD17" s="17" t="s">
        <v>88</v>
      </c>
    </row>
    <row r="18" spans="1:30" x14ac:dyDescent="0.2">
      <c r="A18" s="12">
        <v>15</v>
      </c>
      <c r="B18" s="17">
        <v>140</v>
      </c>
      <c r="C18" s="12">
        <f t="shared" si="8"/>
        <v>7</v>
      </c>
      <c r="D18" s="12" t="str">
        <f>IF(C18="","",IF(C18&lt;=Config!B8,"early",IF(C18&lt;=Config!B9,"normal",IF(C18&lt;=Config!B10,"missed1","missed2"))))</f>
        <v>early</v>
      </c>
      <c r="E18" s="18">
        <f t="shared" si="9"/>
        <v>0.28100000000000003</v>
      </c>
      <c r="F18" s="18">
        <f t="shared" si="10"/>
        <v>0.95699999999999996</v>
      </c>
      <c r="G18" s="17">
        <v>5</v>
      </c>
      <c r="H18" s="17">
        <v>3</v>
      </c>
      <c r="I18" s="17">
        <v>3</v>
      </c>
      <c r="J18" s="17">
        <v>3</v>
      </c>
      <c r="K18" s="17">
        <v>3</v>
      </c>
      <c r="L18" s="17">
        <v>3</v>
      </c>
      <c r="M18" s="17">
        <v>4</v>
      </c>
      <c r="N18" s="17">
        <v>4</v>
      </c>
      <c r="O18" s="17">
        <v>4</v>
      </c>
      <c r="P18" s="17">
        <v>4</v>
      </c>
      <c r="Q18" s="17">
        <v>4</v>
      </c>
      <c r="R18" s="18">
        <f t="shared" si="0"/>
        <v>7.5</v>
      </c>
      <c r="S18" s="18">
        <f t="shared" si="1"/>
        <v>10</v>
      </c>
      <c r="T18" s="18">
        <f t="shared" si="2"/>
        <v>1</v>
      </c>
      <c r="U18" s="18">
        <f t="shared" si="3"/>
        <v>0.28100000000000003</v>
      </c>
      <c r="V18" s="18">
        <f t="shared" si="11"/>
        <v>8.9023653928369484</v>
      </c>
      <c r="W18" s="18">
        <f t="shared" si="12"/>
        <v>7.5522117138364315</v>
      </c>
      <c r="X18" s="19">
        <f t="shared" si="4"/>
        <v>11.674245644074361</v>
      </c>
      <c r="Y18" s="12" t="str">
        <f t="shared" si="5"/>
        <v>YES</v>
      </c>
      <c r="Z18" s="19">
        <f t="shared" si="6"/>
        <v>3.3085284287167473</v>
      </c>
      <c r="AA18" s="12" t="str">
        <f t="shared" si="7"/>
        <v>Owls</v>
      </c>
      <c r="AB18" s="17">
        <v>2</v>
      </c>
      <c r="AC18" s="12">
        <f t="shared" si="13"/>
        <v>54</v>
      </c>
      <c r="AD18" s="17" t="s">
        <v>89</v>
      </c>
    </row>
    <row r="19" spans="1:30" x14ac:dyDescent="0.2">
      <c r="A19" s="13">
        <v>16</v>
      </c>
      <c r="B19" s="17">
        <v>147</v>
      </c>
      <c r="C19" s="13">
        <f t="shared" si="8"/>
        <v>7</v>
      </c>
      <c r="D19" s="13" t="str">
        <f>IF(C19="","",IF(C19&lt;=Config!B8,"early",IF(C19&lt;=Config!B9,"normal",IF(C19&lt;=Config!B10,"missed1","missed2"))))</f>
        <v>early</v>
      </c>
      <c r="E19" s="20">
        <f t="shared" si="9"/>
        <v>0.28100000000000003</v>
      </c>
      <c r="F19" s="20">
        <f t="shared" si="10"/>
        <v>0.95699999999999996</v>
      </c>
      <c r="G19" s="17">
        <v>4</v>
      </c>
      <c r="H19" s="17">
        <v>3</v>
      </c>
      <c r="I19" s="17">
        <v>3</v>
      </c>
      <c r="J19" s="17">
        <v>3</v>
      </c>
      <c r="K19" s="17">
        <v>3</v>
      </c>
      <c r="L19" s="17"/>
      <c r="M19" s="17">
        <v>3</v>
      </c>
      <c r="N19" s="17">
        <v>3</v>
      </c>
      <c r="O19" s="17">
        <v>3</v>
      </c>
      <c r="P19" s="17">
        <v>3</v>
      </c>
      <c r="Q19" s="17"/>
      <c r="R19" s="20">
        <f t="shared" si="0"/>
        <v>7.5</v>
      </c>
      <c r="S19" s="20">
        <f t="shared" si="1"/>
        <v>7.5</v>
      </c>
      <c r="T19" s="20">
        <f t="shared" si="2"/>
        <v>0.94</v>
      </c>
      <c r="U19" s="20">
        <f t="shared" si="3"/>
        <v>0.26413999999999999</v>
      </c>
      <c r="V19" s="20">
        <f t="shared" si="11"/>
        <v>8.5319445979729966</v>
      </c>
      <c r="W19" s="20">
        <f t="shared" si="12"/>
        <v>7.2994535797386986</v>
      </c>
      <c r="X19" s="21">
        <f t="shared" si="4"/>
        <v>11.228361464863905</v>
      </c>
      <c r="Y19" s="13" t="str">
        <f t="shared" si="5"/>
        <v>YES</v>
      </c>
      <c r="Z19" s="21">
        <f t="shared" si="6"/>
        <v>3.1964712734636009</v>
      </c>
      <c r="AA19" s="13" t="str">
        <f t="shared" si="7"/>
        <v>Owls</v>
      </c>
      <c r="AB19" s="17">
        <v>1</v>
      </c>
      <c r="AC19" s="13">
        <f t="shared" si="13"/>
        <v>55</v>
      </c>
      <c r="AD19" s="17" t="s">
        <v>90</v>
      </c>
    </row>
    <row r="20" spans="1:30" x14ac:dyDescent="0.2">
      <c r="A20" s="12">
        <v>17</v>
      </c>
      <c r="B20" s="17">
        <v>154</v>
      </c>
      <c r="C20" s="12">
        <f t="shared" si="8"/>
        <v>7</v>
      </c>
      <c r="D20" s="12" t="str">
        <f>IF(C20="","",IF(C20&lt;=Config!B8,"early",IF(C20&lt;=Config!B9,"normal",IF(C20&lt;=Config!B10,"missed1","missed2"))))</f>
        <v>early</v>
      </c>
      <c r="E20" s="18">
        <f t="shared" si="9"/>
        <v>0.28100000000000003</v>
      </c>
      <c r="F20" s="18">
        <f t="shared" si="10"/>
        <v>0.95699999999999996</v>
      </c>
      <c r="G20" s="17">
        <v>3</v>
      </c>
      <c r="H20" s="17">
        <v>2</v>
      </c>
      <c r="I20" s="17">
        <v>2</v>
      </c>
      <c r="J20" s="17">
        <v>2</v>
      </c>
      <c r="K20" s="17"/>
      <c r="L20" s="17"/>
      <c r="M20" s="17">
        <v>3</v>
      </c>
      <c r="N20" s="17">
        <v>3</v>
      </c>
      <c r="O20" s="17">
        <v>3</v>
      </c>
      <c r="P20" s="17"/>
      <c r="Q20" s="17"/>
      <c r="R20" s="18">
        <f t="shared" si="0"/>
        <v>5</v>
      </c>
      <c r="S20" s="18">
        <f t="shared" si="1"/>
        <v>7.5</v>
      </c>
      <c r="T20" s="18">
        <f t="shared" si="2"/>
        <v>0.87999999999999989</v>
      </c>
      <c r="U20" s="18">
        <f t="shared" si="3"/>
        <v>0.24728</v>
      </c>
      <c r="V20" s="18">
        <f t="shared" si="11"/>
        <v>7.6585653377862339</v>
      </c>
      <c r="W20" s="18">
        <f t="shared" si="12"/>
        <v>7.112783576503654</v>
      </c>
      <c r="X20" s="19">
        <f t="shared" si="4"/>
        <v>10.452048279611079</v>
      </c>
      <c r="Y20" s="12" t="str">
        <f t="shared" si="5"/>
        <v>YES</v>
      </c>
      <c r="Z20" s="19">
        <f t="shared" si="6"/>
        <v>2.9885549539143921</v>
      </c>
      <c r="AA20" s="12" t="str">
        <f t="shared" si="7"/>
        <v>Owls</v>
      </c>
      <c r="AB20" s="17">
        <v>1</v>
      </c>
      <c r="AC20" s="12">
        <f t="shared" si="13"/>
        <v>56</v>
      </c>
      <c r="AD20" s="17" t="s">
        <v>91</v>
      </c>
    </row>
    <row r="21" spans="1:30" ht="28" x14ac:dyDescent="0.2">
      <c r="A21" s="13">
        <v>18</v>
      </c>
      <c r="B21" s="17">
        <v>161</v>
      </c>
      <c r="C21" s="13">
        <f t="shared" si="8"/>
        <v>7</v>
      </c>
      <c r="D21" s="13" t="str">
        <f>IF(C21="","",IF(C21&lt;=Config!B8,"early",IF(C21&lt;=Config!B9,"normal",IF(C21&lt;=Config!B10,"missed1","missed2"))))</f>
        <v>early</v>
      </c>
      <c r="E21" s="20">
        <f t="shared" si="9"/>
        <v>0.28100000000000003</v>
      </c>
      <c r="F21" s="20">
        <f t="shared" si="10"/>
        <v>0.95699999999999996</v>
      </c>
      <c r="G21" s="17">
        <v>3</v>
      </c>
      <c r="H21" s="17">
        <v>1</v>
      </c>
      <c r="I21" s="17">
        <v>1</v>
      </c>
      <c r="J21" s="17">
        <v>1</v>
      </c>
      <c r="K21" s="17"/>
      <c r="L21" s="17"/>
      <c r="M21" s="17">
        <v>3</v>
      </c>
      <c r="N21" s="17">
        <v>3</v>
      </c>
      <c r="O21" s="17">
        <v>3</v>
      </c>
      <c r="P21" s="17"/>
      <c r="Q21" s="17"/>
      <c r="R21" s="20">
        <f t="shared" si="0"/>
        <v>2.5</v>
      </c>
      <c r="S21" s="20">
        <f t="shared" si="1"/>
        <v>7.5</v>
      </c>
      <c r="T21" s="20">
        <f t="shared" si="2"/>
        <v>0.87999999999999989</v>
      </c>
      <c r="U21" s="20">
        <f t="shared" si="3"/>
        <v>0.24728</v>
      </c>
      <c r="V21" s="20">
        <f t="shared" si="11"/>
        <v>6.3829553010584537</v>
      </c>
      <c r="W21" s="20">
        <f t="shared" si="12"/>
        <v>6.9783152721964798</v>
      </c>
      <c r="X21" s="21">
        <f t="shared" si="4"/>
        <v>9.4572195921148428</v>
      </c>
      <c r="Y21" s="13" t="str">
        <f t="shared" si="5"/>
        <v>YES</v>
      </c>
      <c r="Z21" s="21">
        <f t="shared" si="6"/>
        <v>2.7157355864218791</v>
      </c>
      <c r="AA21" s="13" t="str">
        <f t="shared" si="7"/>
        <v>Owls</v>
      </c>
      <c r="AB21" s="17">
        <v>1</v>
      </c>
      <c r="AC21" s="13">
        <f t="shared" si="13"/>
        <v>57</v>
      </c>
      <c r="AD21" s="17" t="s">
        <v>92</v>
      </c>
    </row>
    <row r="22" spans="1:30" x14ac:dyDescent="0.2">
      <c r="A22" s="12">
        <v>19</v>
      </c>
      <c r="B22" s="17">
        <v>168</v>
      </c>
      <c r="C22" s="12">
        <f t="shared" si="8"/>
        <v>7</v>
      </c>
      <c r="D22" s="12" t="str">
        <f>IF(C22="","",IF(C22&lt;=Config!B8,"early",IF(C22&lt;=Config!B9,"normal",IF(C22&lt;=Config!B10,"missed1","missed2"))))</f>
        <v>early</v>
      </c>
      <c r="E22" s="18">
        <f t="shared" si="9"/>
        <v>0.28100000000000003</v>
      </c>
      <c r="F22" s="18">
        <f t="shared" si="10"/>
        <v>0.95699999999999996</v>
      </c>
      <c r="G22" s="17">
        <v>3</v>
      </c>
      <c r="H22" s="17">
        <v>1</v>
      </c>
      <c r="I22" s="17">
        <v>1</v>
      </c>
      <c r="J22" s="17">
        <v>1</v>
      </c>
      <c r="K22" s="17"/>
      <c r="L22" s="17"/>
      <c r="M22" s="17">
        <v>3</v>
      </c>
      <c r="N22" s="17">
        <v>3</v>
      </c>
      <c r="O22" s="17">
        <v>3</v>
      </c>
      <c r="P22" s="17"/>
      <c r="Q22" s="17"/>
      <c r="R22" s="18">
        <f t="shared" si="0"/>
        <v>2.5</v>
      </c>
      <c r="S22" s="18">
        <f t="shared" si="1"/>
        <v>7.5</v>
      </c>
      <c r="T22" s="18">
        <f t="shared" si="2"/>
        <v>0.87999999999999989</v>
      </c>
      <c r="U22" s="18">
        <f t="shared" si="3"/>
        <v>0.24728</v>
      </c>
      <c r="V22" s="18">
        <f t="shared" si="11"/>
        <v>5.4227781142127194</v>
      </c>
      <c r="W22" s="18">
        <f t="shared" si="12"/>
        <v>6.8814506204051611</v>
      </c>
      <c r="X22" s="19">
        <f t="shared" si="4"/>
        <v>8.7613289583863381</v>
      </c>
      <c r="Y22" s="12" t="str">
        <f t="shared" si="5"/>
        <v>YES</v>
      </c>
      <c r="Z22" s="19">
        <f t="shared" si="6"/>
        <v>2.5159036019927683</v>
      </c>
      <c r="AA22" s="12" t="str">
        <f t="shared" si="7"/>
        <v>Owls</v>
      </c>
      <c r="AB22" s="17">
        <v>0</v>
      </c>
      <c r="AC22" s="12">
        <f t="shared" si="13"/>
        <v>57</v>
      </c>
      <c r="AD22" s="17" t="s">
        <v>93</v>
      </c>
    </row>
    <row r="23" spans="1:30" x14ac:dyDescent="0.2">
      <c r="A23" s="13">
        <v>20</v>
      </c>
      <c r="B23" s="17">
        <v>182</v>
      </c>
      <c r="C23" s="13">
        <f t="shared" si="8"/>
        <v>14</v>
      </c>
      <c r="D23" s="13" t="str">
        <f>IF(C23="","",IF(C23&lt;=Config!B8,"early",IF(C23&lt;=Config!B9,"normal",IF(C23&lt;=Config!B10,"missed1","missed2"))))</f>
        <v>normal</v>
      </c>
      <c r="E23" s="20">
        <f t="shared" si="9"/>
        <v>0.47499999999999998</v>
      </c>
      <c r="F23" s="20">
        <f t="shared" si="10"/>
        <v>0.91700000000000004</v>
      </c>
      <c r="G23" s="17">
        <v>3</v>
      </c>
      <c r="H23" s="17">
        <v>2</v>
      </c>
      <c r="I23" s="17">
        <v>2</v>
      </c>
      <c r="J23" s="17">
        <v>2</v>
      </c>
      <c r="K23" s="17"/>
      <c r="L23" s="17"/>
      <c r="M23" s="17">
        <v>4</v>
      </c>
      <c r="N23" s="17">
        <v>4</v>
      </c>
      <c r="O23" s="17">
        <v>4</v>
      </c>
      <c r="P23" s="17"/>
      <c r="Q23" s="17"/>
      <c r="R23" s="20">
        <f t="shared" si="0"/>
        <v>5</v>
      </c>
      <c r="S23" s="20">
        <f t="shared" si="1"/>
        <v>10</v>
      </c>
      <c r="T23" s="20">
        <f t="shared" si="2"/>
        <v>0.87999999999999989</v>
      </c>
      <c r="U23" s="20">
        <f t="shared" si="3"/>
        <v>0.41799999999999993</v>
      </c>
      <c r="V23" s="20">
        <f t="shared" si="11"/>
        <v>5.2460568624718027</v>
      </c>
      <c r="W23" s="20">
        <f t="shared" si="12"/>
        <v>7.8525889074065116</v>
      </c>
      <c r="X23" s="21">
        <f t="shared" si="4"/>
        <v>9.4437421159734818</v>
      </c>
      <c r="Y23" s="13" t="str">
        <f t="shared" si="5"/>
        <v>YES</v>
      </c>
      <c r="Z23" s="21">
        <f t="shared" si="6"/>
        <v>2.7232823259173484</v>
      </c>
      <c r="AA23" s="13" t="str">
        <f t="shared" si="7"/>
        <v>Owls</v>
      </c>
      <c r="AB23" s="17">
        <v>1</v>
      </c>
      <c r="AC23" s="13">
        <f t="shared" si="13"/>
        <v>58</v>
      </c>
      <c r="AD23" s="17" t="s">
        <v>94</v>
      </c>
    </row>
    <row r="24" spans="1:30" x14ac:dyDescent="0.2">
      <c r="A24" s="12">
        <v>21</v>
      </c>
      <c r="B24" s="17">
        <v>189</v>
      </c>
      <c r="C24" s="12">
        <f t="shared" si="8"/>
        <v>7</v>
      </c>
      <c r="D24" s="12" t="str">
        <f>IF(C24="","",IF(C24&lt;=Config!B8,"early",IF(C24&lt;=Config!B9,"normal",IF(C24&lt;=Config!B10,"missed1","missed2"))))</f>
        <v>early</v>
      </c>
      <c r="E24" s="18">
        <f t="shared" si="9"/>
        <v>0.28100000000000003</v>
      </c>
      <c r="F24" s="18">
        <f t="shared" si="10"/>
        <v>0.95699999999999996</v>
      </c>
      <c r="G24" s="17">
        <v>3</v>
      </c>
      <c r="H24" s="17">
        <v>1</v>
      </c>
      <c r="I24" s="17">
        <v>1</v>
      </c>
      <c r="J24" s="17">
        <v>1</v>
      </c>
      <c r="K24" s="17"/>
      <c r="L24" s="17"/>
      <c r="M24" s="17">
        <v>4</v>
      </c>
      <c r="N24" s="17">
        <v>4</v>
      </c>
      <c r="O24" s="17">
        <v>4</v>
      </c>
      <c r="P24" s="17"/>
      <c r="Q24" s="17"/>
      <c r="R24" s="18">
        <f t="shared" si="0"/>
        <v>2.5</v>
      </c>
      <c r="S24" s="18">
        <f t="shared" si="1"/>
        <v>10</v>
      </c>
      <c r="T24" s="18">
        <f t="shared" si="2"/>
        <v>0.87999999999999989</v>
      </c>
      <c r="U24" s="18">
        <f t="shared" si="3"/>
        <v>0.24728</v>
      </c>
      <c r="V24" s="18">
        <f t="shared" si="11"/>
        <v>4.5670119215197751</v>
      </c>
      <c r="W24" s="18">
        <f t="shared" si="12"/>
        <v>8.1294362913205589</v>
      </c>
      <c r="X24" s="19">
        <f t="shared" si="4"/>
        <v>9.3244480965869236</v>
      </c>
      <c r="Y24" s="12" t="str">
        <f t="shared" si="5"/>
        <v>YES</v>
      </c>
      <c r="Z24" s="19">
        <f t="shared" si="6"/>
        <v>2.6888816306639747</v>
      </c>
      <c r="AA24" s="12" t="str">
        <f t="shared" si="7"/>
        <v>Sleeping Cats</v>
      </c>
      <c r="AB24" s="17">
        <v>0</v>
      </c>
      <c r="AC24" s="12">
        <f t="shared" si="13"/>
        <v>58</v>
      </c>
      <c r="AD24" s="17" t="s">
        <v>95</v>
      </c>
    </row>
    <row r="25" spans="1:30" x14ac:dyDescent="0.2">
      <c r="A25" s="13">
        <v>22</v>
      </c>
      <c r="B25" s="17">
        <v>196</v>
      </c>
      <c r="C25" s="13">
        <f t="shared" si="8"/>
        <v>7</v>
      </c>
      <c r="D25" s="13" t="str">
        <f>IF(C25="","",IF(C25&lt;=Config!B8,"early",IF(C25&lt;=Config!B9,"normal",IF(C25&lt;=Config!B10,"missed1","missed2"))))</f>
        <v>early</v>
      </c>
      <c r="E25" s="20">
        <f t="shared" si="9"/>
        <v>0.28100000000000003</v>
      </c>
      <c r="F25" s="20">
        <f t="shared" si="10"/>
        <v>0.95699999999999996</v>
      </c>
      <c r="G25" s="17">
        <v>3</v>
      </c>
      <c r="H25" s="17">
        <v>1</v>
      </c>
      <c r="I25" s="17">
        <v>1</v>
      </c>
      <c r="J25" s="17">
        <v>1</v>
      </c>
      <c r="K25" s="17"/>
      <c r="L25" s="17"/>
      <c r="M25" s="17">
        <v>3</v>
      </c>
      <c r="N25" s="17">
        <v>3</v>
      </c>
      <c r="O25" s="17">
        <v>3</v>
      </c>
      <c r="P25" s="17"/>
      <c r="Q25" s="17"/>
      <c r="R25" s="20">
        <f t="shared" si="0"/>
        <v>2.5</v>
      </c>
      <c r="S25" s="20">
        <f t="shared" si="1"/>
        <v>7.5</v>
      </c>
      <c r="T25" s="20">
        <f t="shared" si="2"/>
        <v>0.87999999999999989</v>
      </c>
      <c r="U25" s="20">
        <f t="shared" si="3"/>
        <v>0.24728</v>
      </c>
      <c r="V25" s="20">
        <f t="shared" si="11"/>
        <v>4.0558812135663649</v>
      </c>
      <c r="W25" s="20">
        <f t="shared" si="12"/>
        <v>7.7106641459390897</v>
      </c>
      <c r="X25" s="21">
        <f t="shared" si="4"/>
        <v>8.7123196675759758</v>
      </c>
      <c r="Y25" s="13" t="str">
        <f t="shared" si="5"/>
        <v>YES</v>
      </c>
      <c r="Z25" s="21">
        <f t="shared" si="6"/>
        <v>2.5123627770733572</v>
      </c>
      <c r="AA25" s="13" t="str">
        <f t="shared" si="7"/>
        <v>Sleeping Cats</v>
      </c>
      <c r="AB25" s="17">
        <v>0</v>
      </c>
      <c r="AC25" s="13">
        <f t="shared" si="13"/>
        <v>58</v>
      </c>
      <c r="AD25" s="17" t="s">
        <v>96</v>
      </c>
    </row>
    <row r="26" spans="1:30" x14ac:dyDescent="0.2">
      <c r="A26" s="12">
        <v>23</v>
      </c>
      <c r="B26" s="17">
        <v>210</v>
      </c>
      <c r="C26" s="12">
        <f t="shared" si="8"/>
        <v>14</v>
      </c>
      <c r="D26" s="12" t="str">
        <f>IF(C26="","",IF(C26&lt;=Config!B8,"early",IF(C26&lt;=Config!B9,"normal",IF(C26&lt;=Config!B10,"missed1","missed2"))))</f>
        <v>normal</v>
      </c>
      <c r="E26" s="18">
        <f t="shared" si="9"/>
        <v>0.47499999999999998</v>
      </c>
      <c r="F26" s="18">
        <f t="shared" si="10"/>
        <v>0.91700000000000004</v>
      </c>
      <c r="G26" s="17">
        <v>3</v>
      </c>
      <c r="H26" s="17">
        <v>1</v>
      </c>
      <c r="I26" s="17">
        <v>1</v>
      </c>
      <c r="J26" s="17">
        <v>1</v>
      </c>
      <c r="K26" s="17"/>
      <c r="L26" s="17"/>
      <c r="M26" s="17">
        <v>2</v>
      </c>
      <c r="N26" s="17">
        <v>2</v>
      </c>
      <c r="O26" s="17">
        <v>2</v>
      </c>
      <c r="P26" s="17"/>
      <c r="Q26" s="17"/>
      <c r="R26" s="18">
        <f t="shared" si="0"/>
        <v>2.5</v>
      </c>
      <c r="S26" s="18">
        <f t="shared" si="1"/>
        <v>5</v>
      </c>
      <c r="T26" s="18">
        <f t="shared" si="2"/>
        <v>0.87999999999999989</v>
      </c>
      <c r="U26" s="18">
        <f t="shared" si="3"/>
        <v>0.41799999999999993</v>
      </c>
      <c r="V26" s="18">
        <f t="shared" si="11"/>
        <v>3.4055228662956245</v>
      </c>
      <c r="W26" s="18">
        <f t="shared" si="12"/>
        <v>6.2051351907028165</v>
      </c>
      <c r="X26" s="19">
        <f t="shared" si="4"/>
        <v>7.0782263829126606</v>
      </c>
      <c r="Y26" s="12" t="str">
        <f t="shared" si="5"/>
        <v>YES</v>
      </c>
      <c r="Z26" s="19">
        <f t="shared" si="6"/>
        <v>2.0411409556412816</v>
      </c>
      <c r="AA26" s="12" t="str">
        <f t="shared" si="7"/>
        <v>Sleeping Cats</v>
      </c>
      <c r="AB26" s="17">
        <v>0</v>
      </c>
      <c r="AC26" s="12">
        <f t="shared" si="13"/>
        <v>58</v>
      </c>
      <c r="AD26" s="17" t="s">
        <v>97</v>
      </c>
    </row>
    <row r="27" spans="1:30" x14ac:dyDescent="0.2">
      <c r="A27" s="13">
        <v>24</v>
      </c>
      <c r="B27" s="17">
        <v>224</v>
      </c>
      <c r="C27" s="13">
        <f t="shared" si="8"/>
        <v>14</v>
      </c>
      <c r="D27" s="13" t="str">
        <f>IF(C27="","",IF(C27&lt;=Config!B8,"early",IF(C27&lt;=Config!B9,"normal",IF(C27&lt;=Config!B10,"missed1","missed2"))))</f>
        <v>normal</v>
      </c>
      <c r="E27" s="20">
        <f t="shared" si="9"/>
        <v>0.47499999999999998</v>
      </c>
      <c r="F27" s="20">
        <f t="shared" si="10"/>
        <v>0.91700000000000004</v>
      </c>
      <c r="G27" s="17">
        <v>2</v>
      </c>
      <c r="H27" s="17">
        <v>1</v>
      </c>
      <c r="I27" s="17">
        <v>1</v>
      </c>
      <c r="J27" s="17"/>
      <c r="K27" s="17"/>
      <c r="L27" s="17"/>
      <c r="M27" s="17">
        <v>2</v>
      </c>
      <c r="N27" s="17">
        <v>2</v>
      </c>
      <c r="O27" s="17"/>
      <c r="P27" s="17"/>
      <c r="Q27" s="17"/>
      <c r="R27" s="20">
        <f t="shared" si="0"/>
        <v>2.5</v>
      </c>
      <c r="S27" s="20">
        <f t="shared" si="1"/>
        <v>5</v>
      </c>
      <c r="T27" s="20">
        <f t="shared" si="2"/>
        <v>0.82</v>
      </c>
      <c r="U27" s="20">
        <f t="shared" si="3"/>
        <v>0.38949999999999996</v>
      </c>
      <c r="V27" s="20">
        <f t="shared" si="11"/>
        <v>3.0528217098734789</v>
      </c>
      <c r="W27" s="20">
        <f t="shared" si="12"/>
        <v>5.4213115261083722</v>
      </c>
      <c r="X27" s="21">
        <f t="shared" si="4"/>
        <v>6.2217633397124903</v>
      </c>
      <c r="Y27" s="13" t="str">
        <f t="shared" si="5"/>
        <v/>
      </c>
      <c r="Z27" s="21">
        <f t="shared" si="6"/>
        <v>1.7941635774255715</v>
      </c>
      <c r="AA27" s="13" t="str">
        <f t="shared" si="7"/>
        <v>Sleeping Cats</v>
      </c>
      <c r="AB27" s="17">
        <v>0</v>
      </c>
      <c r="AC27" s="13">
        <f t="shared" si="13"/>
        <v>58</v>
      </c>
      <c r="AD27" s="17" t="s">
        <v>98</v>
      </c>
    </row>
    <row r="28" spans="1:30" x14ac:dyDescent="0.2">
      <c r="A28" s="12">
        <v>25</v>
      </c>
      <c r="B28" s="17">
        <v>238</v>
      </c>
      <c r="C28" s="12">
        <f t="shared" si="8"/>
        <v>14</v>
      </c>
      <c r="D28" s="12" t="str">
        <f>IF(C28="","",IF(C28&lt;=Config!B8,"early",IF(C28&lt;=Config!B9,"normal",IF(C28&lt;=Config!B10,"missed1","missed2"))))</f>
        <v>normal</v>
      </c>
      <c r="E28" s="18">
        <f t="shared" si="9"/>
        <v>0.47499999999999998</v>
      </c>
      <c r="F28" s="18">
        <f t="shared" si="10"/>
        <v>0.91700000000000004</v>
      </c>
      <c r="G28" s="17">
        <v>2</v>
      </c>
      <c r="H28" s="17">
        <v>1</v>
      </c>
      <c r="I28" s="17">
        <v>1</v>
      </c>
      <c r="J28" s="17"/>
      <c r="K28" s="17"/>
      <c r="L28" s="17"/>
      <c r="M28" s="17">
        <v>1</v>
      </c>
      <c r="N28" s="17">
        <v>1</v>
      </c>
      <c r="O28" s="17"/>
      <c r="P28" s="17"/>
      <c r="Q28" s="17"/>
      <c r="R28" s="18">
        <f t="shared" si="0"/>
        <v>2.5</v>
      </c>
      <c r="S28" s="18">
        <f t="shared" si="1"/>
        <v>2.5</v>
      </c>
      <c r="T28" s="18">
        <f t="shared" si="2"/>
        <v>0.82</v>
      </c>
      <c r="U28" s="18">
        <f t="shared" si="3"/>
        <v>0.38949999999999996</v>
      </c>
      <c r="V28" s="18">
        <f t="shared" si="11"/>
        <v>2.837497653877759</v>
      </c>
      <c r="W28" s="18">
        <f t="shared" si="12"/>
        <v>4.0087546996939611</v>
      </c>
      <c r="X28" s="19">
        <f t="shared" si="4"/>
        <v>4.9113651033170207</v>
      </c>
      <c r="Y28" s="12" t="str">
        <f t="shared" si="5"/>
        <v/>
      </c>
      <c r="Z28" s="19">
        <f t="shared" si="6"/>
        <v>1.4162853684205823</v>
      </c>
      <c r="AA28" s="12" t="str">
        <f t="shared" si="7"/>
        <v>Question Marks</v>
      </c>
      <c r="AB28" s="17">
        <v>0</v>
      </c>
      <c r="AC28" s="12">
        <f t="shared" si="13"/>
        <v>58</v>
      </c>
      <c r="AD28" s="17" t="s">
        <v>99</v>
      </c>
    </row>
    <row r="29" spans="1:30" x14ac:dyDescent="0.2">
      <c r="A29" s="13">
        <v>26</v>
      </c>
      <c r="B29" s="17">
        <v>252</v>
      </c>
      <c r="C29" s="13">
        <f t="shared" si="8"/>
        <v>14</v>
      </c>
      <c r="D29" s="13" t="str">
        <f>IF(C29="","",IF(C29&lt;=Config!B8,"early",IF(C29&lt;=Config!B9,"normal",IF(C29&lt;=Config!B10,"missed1","missed2"))))</f>
        <v>normal</v>
      </c>
      <c r="E29" s="20">
        <f t="shared" si="9"/>
        <v>0.47499999999999998</v>
      </c>
      <c r="F29" s="20">
        <f t="shared" si="10"/>
        <v>0.91700000000000004</v>
      </c>
      <c r="G29" s="17">
        <v>2</v>
      </c>
      <c r="H29" s="17">
        <v>1</v>
      </c>
      <c r="I29" s="17">
        <v>1</v>
      </c>
      <c r="J29" s="17"/>
      <c r="K29" s="17"/>
      <c r="L29" s="17"/>
      <c r="M29" s="17">
        <v>1</v>
      </c>
      <c r="N29" s="17">
        <v>1</v>
      </c>
      <c r="O29" s="17"/>
      <c r="P29" s="17"/>
      <c r="Q29" s="17"/>
      <c r="R29" s="20">
        <f t="shared" si="0"/>
        <v>2.5</v>
      </c>
      <c r="S29" s="20">
        <f t="shared" si="1"/>
        <v>2.5</v>
      </c>
      <c r="T29" s="20">
        <f t="shared" si="2"/>
        <v>0.82</v>
      </c>
      <c r="U29" s="20">
        <f t="shared" si="3"/>
        <v>0.38949999999999996</v>
      </c>
      <c r="V29" s="20">
        <f t="shared" si="11"/>
        <v>2.706042317692372</v>
      </c>
      <c r="W29" s="20">
        <f t="shared" si="12"/>
        <v>3.2179651303976207</v>
      </c>
      <c r="X29" s="21">
        <f t="shared" si="4"/>
        <v>4.204517166762062</v>
      </c>
      <c r="Y29" s="13" t="str">
        <f t="shared" si="5"/>
        <v/>
      </c>
      <c r="Z29" s="21">
        <f t="shared" si="6"/>
        <v>1.2124523466065558</v>
      </c>
      <c r="AA29" s="13" t="str">
        <f t="shared" si="7"/>
        <v>Question Marks</v>
      </c>
      <c r="AB29" s="17">
        <v>0</v>
      </c>
      <c r="AC29" s="13">
        <f t="shared" si="13"/>
        <v>58</v>
      </c>
      <c r="AD29" s="17" t="s">
        <v>100</v>
      </c>
    </row>
    <row r="30" spans="1:30" x14ac:dyDescent="0.2">
      <c r="A30" s="12">
        <v>27</v>
      </c>
      <c r="B30" s="17"/>
      <c r="C30" s="12" t="str">
        <f t="shared" si="8"/>
        <v/>
      </c>
      <c r="D30" s="12" t="str">
        <f>IF(C30="","",IF(C30&lt;=Config!B8,"early",IF(C30&lt;=Config!B9,"normal",IF(C30&lt;=Config!B10,"missed1","missed2"))))</f>
        <v/>
      </c>
      <c r="E30" s="18" t="str">
        <f t="shared" si="9"/>
        <v/>
      </c>
      <c r="F30" s="18" t="str">
        <f t="shared" si="10"/>
        <v/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8" t="str">
        <f t="shared" si="0"/>
        <v/>
      </c>
      <c r="S30" s="18" t="str">
        <f t="shared" si="1"/>
        <v/>
      </c>
      <c r="T30" s="18" t="str">
        <f t="shared" si="2"/>
        <v/>
      </c>
      <c r="U30" s="18" t="str">
        <f t="shared" si="3"/>
        <v/>
      </c>
      <c r="V30" s="18" t="str">
        <f t="shared" si="11"/>
        <v/>
      </c>
      <c r="W30" s="18" t="str">
        <f t="shared" si="12"/>
        <v/>
      </c>
      <c r="X30" s="19" t="str">
        <f t="shared" si="4"/>
        <v/>
      </c>
      <c r="Y30" s="12" t="str">
        <f t="shared" si="5"/>
        <v/>
      </c>
      <c r="Z30" s="19" t="str">
        <f t="shared" si="6"/>
        <v/>
      </c>
      <c r="AA30" s="12" t="str">
        <f t="shared" si="7"/>
        <v/>
      </c>
      <c r="AB30" s="17"/>
      <c r="AC30" s="12" t="str">
        <f t="shared" si="13"/>
        <v/>
      </c>
      <c r="AD30" s="17"/>
    </row>
    <row r="31" spans="1:30" x14ac:dyDescent="0.2">
      <c r="A31" s="13">
        <v>28</v>
      </c>
      <c r="B31" s="17"/>
      <c r="C31" s="13" t="str">
        <f t="shared" si="8"/>
        <v/>
      </c>
      <c r="D31" s="13" t="str">
        <f>IF(C31="","",IF(C31&lt;=Config!B8,"early",IF(C31&lt;=Config!B9,"normal",IF(C31&lt;=Config!B10,"missed1","missed2"))))</f>
        <v/>
      </c>
      <c r="E31" s="20" t="str">
        <f t="shared" si="9"/>
        <v/>
      </c>
      <c r="F31" s="20" t="str">
        <f t="shared" si="10"/>
        <v/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20" t="str">
        <f t="shared" si="0"/>
        <v/>
      </c>
      <c r="S31" s="20" t="str">
        <f t="shared" si="1"/>
        <v/>
      </c>
      <c r="T31" s="20" t="str">
        <f t="shared" si="2"/>
        <v/>
      </c>
      <c r="U31" s="20" t="str">
        <f t="shared" si="3"/>
        <v/>
      </c>
      <c r="V31" s="20" t="str">
        <f t="shared" si="11"/>
        <v/>
      </c>
      <c r="W31" s="20" t="str">
        <f t="shared" si="12"/>
        <v/>
      </c>
      <c r="X31" s="21" t="str">
        <f t="shared" si="4"/>
        <v/>
      </c>
      <c r="Y31" s="13" t="str">
        <f t="shared" si="5"/>
        <v/>
      </c>
      <c r="Z31" s="21" t="str">
        <f t="shared" si="6"/>
        <v/>
      </c>
      <c r="AA31" s="13" t="str">
        <f t="shared" si="7"/>
        <v/>
      </c>
      <c r="AB31" s="17"/>
      <c r="AC31" s="13" t="str">
        <f t="shared" si="13"/>
        <v/>
      </c>
      <c r="AD31" s="17"/>
    </row>
    <row r="32" spans="1:30" x14ac:dyDescent="0.2">
      <c r="A32" s="12">
        <v>29</v>
      </c>
      <c r="B32" s="17"/>
      <c r="C32" s="12" t="str">
        <f t="shared" si="8"/>
        <v/>
      </c>
      <c r="D32" s="12" t="str">
        <f>IF(C32="","",IF(C32&lt;=Config!B8,"early",IF(C32&lt;=Config!B9,"normal",IF(C32&lt;=Config!B10,"missed1","missed2"))))</f>
        <v/>
      </c>
      <c r="E32" s="18" t="str">
        <f t="shared" si="9"/>
        <v/>
      </c>
      <c r="F32" s="18" t="str">
        <f t="shared" si="10"/>
        <v/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8" t="str">
        <f t="shared" si="0"/>
        <v/>
      </c>
      <c r="S32" s="18" t="str">
        <f t="shared" si="1"/>
        <v/>
      </c>
      <c r="T32" s="18" t="str">
        <f t="shared" si="2"/>
        <v/>
      </c>
      <c r="U32" s="18" t="str">
        <f t="shared" si="3"/>
        <v/>
      </c>
      <c r="V32" s="18" t="str">
        <f t="shared" si="11"/>
        <v/>
      </c>
      <c r="W32" s="18" t="str">
        <f t="shared" si="12"/>
        <v/>
      </c>
      <c r="X32" s="19" t="str">
        <f t="shared" si="4"/>
        <v/>
      </c>
      <c r="Y32" s="12" t="str">
        <f t="shared" si="5"/>
        <v/>
      </c>
      <c r="Z32" s="19" t="str">
        <f t="shared" si="6"/>
        <v/>
      </c>
      <c r="AA32" s="12" t="str">
        <f t="shared" si="7"/>
        <v/>
      </c>
      <c r="AB32" s="17"/>
      <c r="AC32" s="12" t="str">
        <f t="shared" si="13"/>
        <v/>
      </c>
      <c r="AD32" s="17"/>
    </row>
    <row r="33" spans="1:30" x14ac:dyDescent="0.2">
      <c r="A33" s="13">
        <v>30</v>
      </c>
      <c r="B33" s="17"/>
      <c r="C33" s="13" t="str">
        <f t="shared" si="8"/>
        <v/>
      </c>
      <c r="D33" s="13" t="str">
        <f>IF(C33="","",IF(C33&lt;=Config!B8,"early",IF(C33&lt;=Config!B9,"normal",IF(C33&lt;=Config!B10,"missed1","missed2"))))</f>
        <v/>
      </c>
      <c r="E33" s="20" t="str">
        <f t="shared" si="9"/>
        <v/>
      </c>
      <c r="F33" s="20" t="str">
        <f t="shared" si="10"/>
        <v/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20" t="str">
        <f t="shared" si="0"/>
        <v/>
      </c>
      <c r="S33" s="20" t="str">
        <f t="shared" si="1"/>
        <v/>
      </c>
      <c r="T33" s="20" t="str">
        <f t="shared" si="2"/>
        <v/>
      </c>
      <c r="U33" s="20" t="str">
        <f t="shared" si="3"/>
        <v/>
      </c>
      <c r="V33" s="20" t="str">
        <f t="shared" si="11"/>
        <v/>
      </c>
      <c r="W33" s="20" t="str">
        <f t="shared" si="12"/>
        <v/>
      </c>
      <c r="X33" s="21" t="str">
        <f t="shared" si="4"/>
        <v/>
      </c>
      <c r="Y33" s="13" t="str">
        <f t="shared" si="5"/>
        <v/>
      </c>
      <c r="Z33" s="21" t="str">
        <f t="shared" si="6"/>
        <v/>
      </c>
      <c r="AA33" s="13" t="str">
        <f t="shared" si="7"/>
        <v/>
      </c>
      <c r="AB33" s="17"/>
      <c r="AC33" s="13" t="str">
        <f t="shared" si="13"/>
        <v/>
      </c>
      <c r="AD33" s="17"/>
    </row>
    <row r="35" spans="1:30" x14ac:dyDescent="0.2">
      <c r="A35" s="3" t="s">
        <v>41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</sheetData>
  <mergeCells count="3">
    <mergeCell ref="H2:L2"/>
    <mergeCell ref="M2:Q2"/>
    <mergeCell ref="A35:AD3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C2626"/>
  </sheetPr>
  <dimension ref="A1:H65"/>
  <sheetViews>
    <sheetView topLeftCell="A33" zoomScaleNormal="100" workbookViewId="0">
      <selection sqref="A1:D1"/>
    </sheetView>
  </sheetViews>
  <sheetFormatPr baseColWidth="10" defaultColWidth="8.6640625" defaultRowHeight="15" x14ac:dyDescent="0.2"/>
  <cols>
    <col min="1" max="3" width="10" customWidth="1"/>
    <col min="4" max="4" width="16" customWidth="1"/>
    <col min="6" max="7" width="12" customWidth="1"/>
    <col min="8" max="8" width="36" customWidth="1"/>
  </cols>
  <sheetData>
    <row r="1" spans="1:8" ht="18" x14ac:dyDescent="0.2">
      <c r="A1" s="6" t="s">
        <v>101</v>
      </c>
      <c r="B1" s="6"/>
      <c r="C1" s="6"/>
      <c r="D1" s="6"/>
    </row>
    <row r="3" spans="1:8" x14ac:dyDescent="0.2">
      <c r="A3" s="11" t="s">
        <v>102</v>
      </c>
      <c r="B3" s="11" t="s">
        <v>47</v>
      </c>
      <c r="C3" s="11" t="s">
        <v>69</v>
      </c>
      <c r="D3" s="11" t="s">
        <v>70</v>
      </c>
      <c r="E3" s="11"/>
      <c r="F3" s="11" t="s">
        <v>103</v>
      </c>
      <c r="G3" s="11" t="s">
        <v>104</v>
      </c>
      <c r="H3" s="11" t="s">
        <v>105</v>
      </c>
    </row>
    <row r="4" spans="1:8" x14ac:dyDescent="0.2">
      <c r="A4" s="22">
        <v>1</v>
      </c>
      <c r="B4" s="22">
        <f>'Signal Tracker'!B4</f>
        <v>0</v>
      </c>
      <c r="C4" s="23">
        <f>'Signal Tracker'!Z4</f>
        <v>0.34662593474842546</v>
      </c>
      <c r="D4" s="22" t="str">
        <f>'Signal Tracker'!AA4</f>
        <v>Question Marks</v>
      </c>
      <c r="F4" s="24" t="s">
        <v>106</v>
      </c>
      <c r="G4" s="22" t="s">
        <v>107</v>
      </c>
      <c r="H4" s="22" t="s">
        <v>108</v>
      </c>
    </row>
    <row r="5" spans="1:8" x14ac:dyDescent="0.2">
      <c r="A5" s="22">
        <v>2</v>
      </c>
      <c r="B5" s="22">
        <f>'Signal Tracker'!B5</f>
        <v>14</v>
      </c>
      <c r="C5" s="23">
        <f>'Signal Tracker'!Z5</f>
        <v>0.39189399152203952</v>
      </c>
      <c r="D5" s="22" t="str">
        <f>'Signal Tracker'!AA5</f>
        <v>Question Marks</v>
      </c>
      <c r="F5" s="25" t="s">
        <v>38</v>
      </c>
      <c r="G5" s="22" t="s">
        <v>109</v>
      </c>
      <c r="H5" s="22" t="s">
        <v>110</v>
      </c>
    </row>
    <row r="6" spans="1:8" x14ac:dyDescent="0.2">
      <c r="A6" s="22">
        <v>3</v>
      </c>
      <c r="B6" s="22">
        <f>'Signal Tracker'!B6</f>
        <v>28</v>
      </c>
      <c r="C6" s="23">
        <f>'Signal Tracker'!Z6</f>
        <v>0.52187005298565092</v>
      </c>
      <c r="D6" s="22" t="str">
        <f>'Signal Tracker'!AA6</f>
        <v>Question Marks</v>
      </c>
      <c r="F6" s="26" t="s">
        <v>111</v>
      </c>
      <c r="G6" s="22" t="s">
        <v>112</v>
      </c>
      <c r="H6" s="22" t="s">
        <v>113</v>
      </c>
    </row>
    <row r="7" spans="1:8" x14ac:dyDescent="0.2">
      <c r="A7" s="22">
        <v>4</v>
      </c>
      <c r="B7" s="22">
        <f>'Signal Tracker'!B7</f>
        <v>42</v>
      </c>
      <c r="C7" s="23">
        <f>'Signal Tracker'!Z7</f>
        <v>0.76820529260317827</v>
      </c>
      <c r="D7" s="22" t="str">
        <f>'Signal Tracker'!AA7</f>
        <v>Question Marks</v>
      </c>
      <c r="F7" s="27" t="s">
        <v>114</v>
      </c>
      <c r="G7" s="22" t="s">
        <v>115</v>
      </c>
      <c r="H7" s="22" t="s">
        <v>116</v>
      </c>
    </row>
    <row r="8" spans="1:8" x14ac:dyDescent="0.2">
      <c r="A8" s="22">
        <v>5</v>
      </c>
      <c r="B8" s="22">
        <f>'Signal Tracker'!B8</f>
        <v>49</v>
      </c>
      <c r="C8" s="23">
        <f>'Signal Tracker'!Z8</f>
        <v>0.91293908644529986</v>
      </c>
      <c r="D8" s="22" t="str">
        <f>'Signal Tracker'!AA8</f>
        <v>Question Marks</v>
      </c>
    </row>
    <row r="9" spans="1:8" x14ac:dyDescent="0.2">
      <c r="A9" s="22">
        <v>6</v>
      </c>
      <c r="B9" s="22">
        <f>'Signal Tracker'!B9</f>
        <v>63</v>
      </c>
      <c r="C9" s="23">
        <f>'Signal Tracker'!Z9</f>
        <v>1.3337735362599998</v>
      </c>
      <c r="D9" s="22" t="str">
        <f>'Signal Tracker'!AA9</f>
        <v>Lit Fuses</v>
      </c>
    </row>
    <row r="10" spans="1:8" x14ac:dyDescent="0.2">
      <c r="A10" s="22">
        <v>7</v>
      </c>
      <c r="B10" s="22">
        <f>'Signal Tracker'!B10</f>
        <v>70</v>
      </c>
      <c r="C10" s="23">
        <f>'Signal Tracker'!Z10</f>
        <v>1.5088954761647035</v>
      </c>
      <c r="D10" s="22" t="str">
        <f>'Signal Tracker'!AA10</f>
        <v>Lit Fuses</v>
      </c>
      <c r="F10" s="16" t="s">
        <v>117</v>
      </c>
      <c r="G10" s="16" t="s">
        <v>118</v>
      </c>
    </row>
    <row r="11" spans="1:8" x14ac:dyDescent="0.2">
      <c r="A11" s="22">
        <v>8</v>
      </c>
      <c r="B11" s="22">
        <f>'Signal Tracker'!B11</f>
        <v>77</v>
      </c>
      <c r="C11" s="23">
        <f>'Signal Tracker'!Z11</f>
        <v>1.7515642297550451</v>
      </c>
      <c r="D11" s="22" t="str">
        <f>'Signal Tracker'!AA11</f>
        <v>Lit Fuses</v>
      </c>
      <c r="F11" s="16">
        <v>0</v>
      </c>
      <c r="G11" s="28">
        <v>0.34660000000000002</v>
      </c>
    </row>
    <row r="12" spans="1:8" x14ac:dyDescent="0.2">
      <c r="A12" s="22">
        <v>9</v>
      </c>
      <c r="B12" s="22">
        <f>'Signal Tracker'!B12</f>
        <v>91</v>
      </c>
      <c r="C12" s="23">
        <f>'Signal Tracker'!Z12</f>
        <v>1.9026839921049528</v>
      </c>
      <c r="D12" s="22" t="str">
        <f>'Signal Tracker'!AA12</f>
        <v>Lit Fuses</v>
      </c>
      <c r="F12" s="16">
        <v>14</v>
      </c>
      <c r="G12" s="28">
        <v>0.39190000000000003</v>
      </c>
    </row>
    <row r="13" spans="1:8" x14ac:dyDescent="0.2">
      <c r="A13" s="22">
        <v>10</v>
      </c>
      <c r="B13" s="22">
        <f>'Signal Tracker'!B13</f>
        <v>98</v>
      </c>
      <c r="C13" s="23">
        <f>'Signal Tracker'!Z13</f>
        <v>2.1409344829543069</v>
      </c>
      <c r="D13" s="22" t="str">
        <f>'Signal Tracker'!AA13</f>
        <v>Lit Fuses</v>
      </c>
      <c r="F13" s="16">
        <v>28</v>
      </c>
      <c r="G13" s="28">
        <v>0.52190000000000003</v>
      </c>
    </row>
    <row r="14" spans="1:8" x14ac:dyDescent="0.2">
      <c r="A14" s="22">
        <v>11</v>
      </c>
      <c r="B14" s="22">
        <f>'Signal Tracker'!B14</f>
        <v>105</v>
      </c>
      <c r="C14" s="23">
        <f>'Signal Tracker'!Z14</f>
        <v>2.3213963829785018</v>
      </c>
      <c r="D14" s="22" t="str">
        <f>'Signal Tracker'!AA14</f>
        <v>Lit Fuses</v>
      </c>
      <c r="F14" s="16">
        <v>42</v>
      </c>
      <c r="G14" s="28">
        <v>0.76819999999999999</v>
      </c>
    </row>
    <row r="15" spans="1:8" x14ac:dyDescent="0.2">
      <c r="A15" s="22">
        <v>12</v>
      </c>
      <c r="B15" s="22">
        <f>'Signal Tracker'!B15</f>
        <v>112</v>
      </c>
      <c r="C15" s="23">
        <f>'Signal Tracker'!Z15</f>
        <v>2.7369699634214664</v>
      </c>
      <c r="D15" s="22" t="str">
        <f>'Signal Tracker'!AA15</f>
        <v>Owls</v>
      </c>
      <c r="F15" s="16">
        <v>49</v>
      </c>
      <c r="G15" s="28">
        <v>0.91290000000000004</v>
      </c>
    </row>
    <row r="16" spans="1:8" x14ac:dyDescent="0.2">
      <c r="A16" s="22">
        <v>13</v>
      </c>
      <c r="B16" s="22">
        <f>'Signal Tracker'!B16</f>
        <v>119</v>
      </c>
      <c r="C16" s="23">
        <f>'Signal Tracker'!Z16</f>
        <v>3.1137777773533428</v>
      </c>
      <c r="D16" s="22" t="str">
        <f>'Signal Tracker'!AA16</f>
        <v>Owls</v>
      </c>
      <c r="F16" s="16">
        <v>63</v>
      </c>
      <c r="G16" s="28">
        <v>1.3338000000000001</v>
      </c>
    </row>
    <row r="17" spans="1:7" x14ac:dyDescent="0.2">
      <c r="A17" s="22">
        <v>14</v>
      </c>
      <c r="B17" s="22">
        <f>'Signal Tracker'!B17</f>
        <v>133</v>
      </c>
      <c r="C17" s="23">
        <f>'Signal Tracker'!Z17</f>
        <v>3.2842097207379499</v>
      </c>
      <c r="D17" s="22" t="str">
        <f>'Signal Tracker'!AA17</f>
        <v>Owls</v>
      </c>
      <c r="F17" s="16">
        <v>70</v>
      </c>
      <c r="G17" s="28">
        <v>1.5088999999999999</v>
      </c>
    </row>
    <row r="18" spans="1:7" x14ac:dyDescent="0.2">
      <c r="A18" s="22">
        <v>15</v>
      </c>
      <c r="B18" s="22">
        <f>'Signal Tracker'!B18</f>
        <v>140</v>
      </c>
      <c r="C18" s="23">
        <f>'Signal Tracker'!Z18</f>
        <v>3.3085284287167473</v>
      </c>
      <c r="D18" s="22" t="str">
        <f>'Signal Tracker'!AA18</f>
        <v>Owls</v>
      </c>
      <c r="F18" s="16">
        <v>77</v>
      </c>
      <c r="G18" s="28">
        <v>1.7516</v>
      </c>
    </row>
    <row r="19" spans="1:7" x14ac:dyDescent="0.2">
      <c r="A19" s="22">
        <v>16</v>
      </c>
      <c r="B19" s="22">
        <f>'Signal Tracker'!B19</f>
        <v>147</v>
      </c>
      <c r="C19" s="23">
        <f>'Signal Tracker'!Z19</f>
        <v>3.1964712734636009</v>
      </c>
      <c r="D19" s="22" t="str">
        <f>'Signal Tracker'!AA19</f>
        <v>Owls</v>
      </c>
      <c r="F19" s="16">
        <v>91</v>
      </c>
      <c r="G19" s="28">
        <v>1.9027000000000001</v>
      </c>
    </row>
    <row r="20" spans="1:7" x14ac:dyDescent="0.2">
      <c r="A20" s="22">
        <v>17</v>
      </c>
      <c r="B20" s="22">
        <f>'Signal Tracker'!B20</f>
        <v>154</v>
      </c>
      <c r="C20" s="23">
        <f>'Signal Tracker'!Z20</f>
        <v>2.9885549539143921</v>
      </c>
      <c r="D20" s="22" t="str">
        <f>'Signal Tracker'!AA20</f>
        <v>Owls</v>
      </c>
      <c r="F20" s="16">
        <v>98</v>
      </c>
      <c r="G20" s="28">
        <v>2.1408999999999998</v>
      </c>
    </row>
    <row r="21" spans="1:7" x14ac:dyDescent="0.2">
      <c r="A21" s="22">
        <v>18</v>
      </c>
      <c r="B21" s="22">
        <f>'Signal Tracker'!B21</f>
        <v>161</v>
      </c>
      <c r="C21" s="23">
        <f>'Signal Tracker'!Z21</f>
        <v>2.7157355864218791</v>
      </c>
      <c r="D21" s="22" t="str">
        <f>'Signal Tracker'!AA21</f>
        <v>Owls</v>
      </c>
      <c r="F21" s="16">
        <v>105</v>
      </c>
      <c r="G21" s="28">
        <v>2.3214000000000001</v>
      </c>
    </row>
    <row r="22" spans="1:7" x14ac:dyDescent="0.2">
      <c r="A22" s="22">
        <v>19</v>
      </c>
      <c r="B22" s="22">
        <f>'Signal Tracker'!B22</f>
        <v>168</v>
      </c>
      <c r="C22" s="23">
        <f>'Signal Tracker'!Z22</f>
        <v>2.5159036019927683</v>
      </c>
      <c r="D22" s="22" t="str">
        <f>'Signal Tracker'!AA22</f>
        <v>Owls</v>
      </c>
      <c r="F22" s="16">
        <v>112</v>
      </c>
      <c r="G22" s="28">
        <v>2.7370000000000001</v>
      </c>
    </row>
    <row r="23" spans="1:7" x14ac:dyDescent="0.2">
      <c r="A23" s="22">
        <v>20</v>
      </c>
      <c r="B23" s="22">
        <f>'Signal Tracker'!B23</f>
        <v>182</v>
      </c>
      <c r="C23" s="23">
        <f>'Signal Tracker'!Z23</f>
        <v>2.7232823259173484</v>
      </c>
      <c r="D23" s="22" t="str">
        <f>'Signal Tracker'!AA23</f>
        <v>Owls</v>
      </c>
      <c r="F23" s="16">
        <v>119</v>
      </c>
      <c r="G23" s="28">
        <v>3.1137999999999999</v>
      </c>
    </row>
    <row r="24" spans="1:7" x14ac:dyDescent="0.2">
      <c r="A24" s="22">
        <v>21</v>
      </c>
      <c r="B24" s="22">
        <f>'Signal Tracker'!B24</f>
        <v>189</v>
      </c>
      <c r="C24" s="23">
        <f>'Signal Tracker'!Z24</f>
        <v>2.6888816306639747</v>
      </c>
      <c r="D24" s="22" t="str">
        <f>'Signal Tracker'!AA24</f>
        <v>Sleeping Cats</v>
      </c>
      <c r="F24" s="16">
        <v>133</v>
      </c>
      <c r="G24" s="28">
        <v>3.2841999999999998</v>
      </c>
    </row>
    <row r="25" spans="1:7" x14ac:dyDescent="0.2">
      <c r="A25" s="22">
        <v>22</v>
      </c>
      <c r="B25" s="22">
        <f>'Signal Tracker'!B25</f>
        <v>196</v>
      </c>
      <c r="C25" s="23">
        <f>'Signal Tracker'!Z25</f>
        <v>2.5123627770733572</v>
      </c>
      <c r="D25" s="22" t="str">
        <f>'Signal Tracker'!AA25</f>
        <v>Sleeping Cats</v>
      </c>
      <c r="F25" s="16">
        <v>140</v>
      </c>
      <c r="G25" s="28">
        <v>3.3085</v>
      </c>
    </row>
    <row r="26" spans="1:7" x14ac:dyDescent="0.2">
      <c r="A26" s="22">
        <v>23</v>
      </c>
      <c r="B26" s="22">
        <f>'Signal Tracker'!B26</f>
        <v>210</v>
      </c>
      <c r="C26" s="23">
        <f>'Signal Tracker'!Z26</f>
        <v>2.0411409556412816</v>
      </c>
      <c r="D26" s="22" t="str">
        <f>'Signal Tracker'!AA26</f>
        <v>Sleeping Cats</v>
      </c>
      <c r="F26" s="16">
        <v>147</v>
      </c>
      <c r="G26" s="28">
        <v>3.1964999999999999</v>
      </c>
    </row>
    <row r="27" spans="1:7" x14ac:dyDescent="0.2">
      <c r="A27" s="22">
        <v>24</v>
      </c>
      <c r="B27" s="22">
        <f>'Signal Tracker'!B27</f>
        <v>224</v>
      </c>
      <c r="C27" s="23">
        <f>'Signal Tracker'!Z27</f>
        <v>1.7941635774255715</v>
      </c>
      <c r="D27" s="22" t="str">
        <f>'Signal Tracker'!AA27</f>
        <v>Sleeping Cats</v>
      </c>
      <c r="F27" s="16">
        <v>154</v>
      </c>
      <c r="G27" s="28">
        <v>2.9885999999999999</v>
      </c>
    </row>
    <row r="28" spans="1:7" x14ac:dyDescent="0.2">
      <c r="A28" s="22">
        <v>25</v>
      </c>
      <c r="B28" s="22">
        <f>'Signal Tracker'!B28</f>
        <v>238</v>
      </c>
      <c r="C28" s="23">
        <f>'Signal Tracker'!Z28</f>
        <v>1.4162853684205823</v>
      </c>
      <c r="D28" s="22" t="str">
        <f>'Signal Tracker'!AA28</f>
        <v>Question Marks</v>
      </c>
      <c r="F28" s="16">
        <v>161</v>
      </c>
      <c r="G28" s="28">
        <v>2.7157</v>
      </c>
    </row>
    <row r="29" spans="1:7" x14ac:dyDescent="0.2">
      <c r="A29" s="22">
        <v>26</v>
      </c>
      <c r="B29" s="22">
        <f>'Signal Tracker'!B29</f>
        <v>252</v>
      </c>
      <c r="C29" s="23">
        <f>'Signal Tracker'!Z29</f>
        <v>1.2124523466065558</v>
      </c>
      <c r="D29" s="22" t="str">
        <f>'Signal Tracker'!AA29</f>
        <v>Question Marks</v>
      </c>
      <c r="F29" s="16">
        <v>168</v>
      </c>
      <c r="G29" s="28">
        <v>2.5158999999999998</v>
      </c>
    </row>
    <row r="30" spans="1:7" x14ac:dyDescent="0.2">
      <c r="A30" s="22">
        <v>27</v>
      </c>
      <c r="B30" s="22">
        <f>'Signal Tracker'!B30</f>
        <v>0</v>
      </c>
      <c r="C30" s="23" t="str">
        <f>'Signal Tracker'!Z30</f>
        <v/>
      </c>
      <c r="D30" s="22" t="str">
        <f>'Signal Tracker'!AA30</f>
        <v/>
      </c>
      <c r="F30" s="16">
        <v>182</v>
      </c>
      <c r="G30" s="28">
        <v>2.7233000000000001</v>
      </c>
    </row>
    <row r="31" spans="1:7" x14ac:dyDescent="0.2">
      <c r="A31" s="22">
        <v>28</v>
      </c>
      <c r="B31" s="22">
        <f>'Signal Tracker'!B31</f>
        <v>0</v>
      </c>
      <c r="C31" s="23" t="str">
        <f>'Signal Tracker'!Z31</f>
        <v/>
      </c>
      <c r="D31" s="22" t="str">
        <f>'Signal Tracker'!AA31</f>
        <v/>
      </c>
      <c r="F31" s="16">
        <v>189</v>
      </c>
      <c r="G31" s="28">
        <v>2.6888999999999998</v>
      </c>
    </row>
    <row r="32" spans="1:7" x14ac:dyDescent="0.2">
      <c r="A32" s="22">
        <v>29</v>
      </c>
      <c r="B32" s="22">
        <f>'Signal Tracker'!B32</f>
        <v>0</v>
      </c>
      <c r="C32" s="23" t="str">
        <f>'Signal Tracker'!Z32</f>
        <v/>
      </c>
      <c r="D32" s="22" t="str">
        <f>'Signal Tracker'!AA32</f>
        <v/>
      </c>
      <c r="F32" s="16">
        <v>196</v>
      </c>
      <c r="G32" s="28">
        <v>2.5124</v>
      </c>
    </row>
    <row r="33" spans="1:7" x14ac:dyDescent="0.2">
      <c r="A33" s="22">
        <v>30</v>
      </c>
      <c r="B33" s="22">
        <f>'Signal Tracker'!B33</f>
        <v>0</v>
      </c>
      <c r="C33" s="23" t="str">
        <f>'Signal Tracker'!Z33</f>
        <v/>
      </c>
      <c r="D33" s="22" t="str">
        <f>'Signal Tracker'!AA33</f>
        <v/>
      </c>
      <c r="F33" s="16">
        <v>210</v>
      </c>
      <c r="G33" s="28">
        <v>2.0411000000000001</v>
      </c>
    </row>
    <row r="34" spans="1:7" x14ac:dyDescent="0.2">
      <c r="F34" s="16">
        <v>224</v>
      </c>
      <c r="G34" s="28">
        <v>1.7942</v>
      </c>
    </row>
    <row r="35" spans="1:7" x14ac:dyDescent="0.2">
      <c r="F35" s="16">
        <v>238</v>
      </c>
      <c r="G35" s="28">
        <v>1.4162999999999999</v>
      </c>
    </row>
    <row r="36" spans="1:7" x14ac:dyDescent="0.2">
      <c r="F36" s="16">
        <v>252</v>
      </c>
      <c r="G36" s="28">
        <v>1.2124999999999999</v>
      </c>
    </row>
    <row r="38" spans="1:7" x14ac:dyDescent="0.2">
      <c r="F38">
        <v>0</v>
      </c>
      <c r="G38">
        <v>0.5</v>
      </c>
    </row>
    <row r="39" spans="1:7" x14ac:dyDescent="0.2">
      <c r="F39">
        <v>270</v>
      </c>
      <c r="G39">
        <v>0.5</v>
      </c>
    </row>
    <row r="40" spans="1:7" x14ac:dyDescent="0.2">
      <c r="F40">
        <v>0</v>
      </c>
      <c r="G40">
        <v>1.5</v>
      </c>
    </row>
    <row r="41" spans="1:7" x14ac:dyDescent="0.2">
      <c r="F41">
        <v>270</v>
      </c>
      <c r="G41">
        <v>1.5</v>
      </c>
    </row>
    <row r="42" spans="1:7" x14ac:dyDescent="0.2">
      <c r="F42">
        <v>0</v>
      </c>
      <c r="G42">
        <v>2.5</v>
      </c>
    </row>
    <row r="43" spans="1:7" x14ac:dyDescent="0.2">
      <c r="F43">
        <v>270</v>
      </c>
      <c r="G43">
        <v>2.5</v>
      </c>
    </row>
    <row r="65" spans="1:8" x14ac:dyDescent="0.2">
      <c r="A65" s="3" t="s">
        <v>41</v>
      </c>
      <c r="B65" s="3"/>
      <c r="C65" s="3"/>
      <c r="D65" s="3"/>
      <c r="E65" s="3"/>
      <c r="F65" s="3"/>
      <c r="G65" s="3"/>
      <c r="H65" s="3"/>
    </row>
  </sheetData>
  <mergeCells count="2">
    <mergeCell ref="A1:D1"/>
    <mergeCell ref="A65:H6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Config</vt:lpstr>
      <vt:lpstr>Signal Tracker</vt:lpstr>
      <vt:lpstr>SSI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Emmanuel Gonzalez</cp:lastModifiedBy>
  <cp:revision>1</cp:revision>
  <dcterms:created xsi:type="dcterms:W3CDTF">2026-04-06T02:13:59Z</dcterms:created>
  <dcterms:modified xsi:type="dcterms:W3CDTF">2026-04-06T02:16:33Z</dcterms:modified>
  <dc:language>en-US</dc:language>
</cp:coreProperties>
</file>