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5320" yWindow="-21100" windowWidth="38400" windowHeight="21100" tabRatio="5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Signal Tracker" sheetId="3" state="visible" r:id="rId3"/>
    <sheet xmlns:r="http://schemas.openxmlformats.org/officeDocument/2006/relationships" name="SSI Chart" sheetId="4" state="visible" r:id="rId4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0.000"/>
  </numFmts>
  <fonts count="15">
    <font>
      <name val="Calibri"/>
      <charset val="1"/>
      <family val="2"/>
      <color theme="1"/>
      <sz val="11"/>
    </font>
    <font>
      <name val="Arial"/>
      <family val="2"/>
      <b val="1"/>
      <color rgb="FF1E3A5F"/>
      <sz val="14"/>
    </font>
    <font>
      <name val="Arial"/>
      <family val="2"/>
      <i val="1"/>
      <color rgb="FF334155"/>
      <sz val="11"/>
    </font>
    <font>
      <name val="Arial"/>
      <family val="2"/>
      <b val="1"/>
      <color rgb="FF334155"/>
      <sz val="10"/>
    </font>
    <font>
      <name val="Arial"/>
      <family val="2"/>
      <color rgb="FF0000FF"/>
      <sz val="10"/>
    </font>
    <font>
      <name val="Arial"/>
      <family val="2"/>
      <i val="1"/>
      <color rgb="FF888888"/>
      <sz val="9"/>
    </font>
    <font>
      <name val="Arial"/>
      <family val="2"/>
      <b val="1"/>
      <color rgb="FFFFFFFF"/>
      <sz val="10"/>
    </font>
    <font>
      <name val="Arial"/>
      <family val="2"/>
      <color rgb="FF334155"/>
      <sz val="10"/>
    </font>
    <font>
      <name val="Arial"/>
      <family val="2"/>
      <i val="1"/>
      <color rgb="FF888888"/>
      <sz val="8"/>
    </font>
    <font>
      <name val="Arial"/>
      <family val="2"/>
      <b val="1"/>
      <color rgb="FF1E40AF"/>
      <sz val="9"/>
    </font>
    <font>
      <name val="Arial"/>
      <family val="2"/>
      <b val="1"/>
      <color rgb="FF991B1B"/>
      <sz val="9"/>
    </font>
    <font>
      <name val="Arial"/>
      <family val="2"/>
      <b val="1"/>
      <color rgb="FF16A34A"/>
      <sz val="10"/>
    </font>
    <font>
      <name val="Arial"/>
      <family val="2"/>
      <b val="1"/>
      <color rgb="FFA16207"/>
      <sz val="10"/>
    </font>
    <font>
      <name val="Arial"/>
      <family val="2"/>
      <b val="1"/>
      <color rgb="FFC2410C"/>
      <sz val="10"/>
    </font>
    <font>
      <name val="Arial"/>
      <family val="2"/>
      <b val="1"/>
      <color rgb="FFDC2626"/>
      <sz val="10"/>
    </font>
  </fonts>
  <fills count="4">
    <fill>
      <patternFill/>
    </fill>
    <fill>
      <patternFill patternType="gray125"/>
    </fill>
    <fill>
      <patternFill patternType="solid">
        <fgColor rgb="FF1E3A5F"/>
        <bgColor rgb="FF334155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0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8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164" fontId="7" fillId="3" borderId="1" applyAlignment="1" pivotButton="0" quotePrefix="0" xfId="0">
      <alignment horizontal="center" vertical="center" wrapText="1"/>
    </xf>
    <xf numFmtId="2" fontId="7" fillId="3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2" fontId="7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2" fontId="7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2" fontId="8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16207"/>
      <rgbColor rgb="FF800080"/>
      <rgbColor rgb="FF008080"/>
      <rgbColor rgb="FFC0C0C0"/>
      <rgbColor rgb="FF878787"/>
      <rgbColor rgb="FF94A3B8"/>
      <rgbColor rgb="FFC2410C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88888"/>
      <rgbColor rgb="FF1E3A5F"/>
      <rgbColor rgb="FF16A34A"/>
      <rgbColor rgb="FF003300"/>
      <rgbColor rgb="FF333300"/>
      <rgbColor rgb="FF991B1B"/>
      <rgbColor rgb="FF993366"/>
      <rgbColor rgb="FF1E40AF"/>
      <rgbColor rgb="FF3341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plotArea>
      <layout/>
      <scatterChart>
        <scatterStyle val="lineMarker"/>
        <varyColors val="0"/>
        <ser>
          <idx val="0"/>
          <order val="0"/>
          <tx>
            <v>SSI</v>
          </tx>
          <spPr>
            <a:ln xmlns:a="http://schemas.openxmlformats.org/drawingml/2006/main" w="18000">
              <a:solidFill>
                <a:srgbClr val="33415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xVal>
            <numRef>
              <f>'SSI Chart'!$F$11:$F$36</f>
              <numCache>
                <formatCode>General</formatCode>
                <ptCount val="26"/>
                <pt idx="0">
                  <v>0</v>
                </pt>
                <pt idx="1">
                  <v>14</v>
                </pt>
                <pt idx="2">
                  <v>28</v>
                </pt>
                <pt idx="3">
                  <v>42</v>
                </pt>
                <pt idx="4">
                  <v>49</v>
                </pt>
                <pt idx="5">
                  <v>63</v>
                </pt>
                <pt idx="6">
                  <v>70</v>
                </pt>
                <pt idx="7">
                  <v>77</v>
                </pt>
                <pt idx="8">
                  <v>91</v>
                </pt>
                <pt idx="9">
                  <v>98</v>
                </pt>
                <pt idx="10">
                  <v>105</v>
                </pt>
                <pt idx="11">
                  <v>112</v>
                </pt>
                <pt idx="12">
                  <v>119</v>
                </pt>
                <pt idx="13">
                  <v>133</v>
                </pt>
                <pt idx="14">
                  <v>140</v>
                </pt>
                <pt idx="15">
                  <v>147</v>
                </pt>
                <pt idx="16">
                  <v>154</v>
                </pt>
                <pt idx="17">
                  <v>161</v>
                </pt>
                <pt idx="18">
                  <v>168</v>
                </pt>
                <pt idx="19">
                  <v>182</v>
                </pt>
                <pt idx="20">
                  <v>189</v>
                </pt>
                <pt idx="21">
                  <v>196</v>
                </pt>
                <pt idx="22">
                  <v>210</v>
                </pt>
                <pt idx="23">
                  <v>224</v>
                </pt>
                <pt idx="24">
                  <v>238</v>
                </pt>
                <pt idx="25">
                  <v>252</v>
                </pt>
              </numCache>
            </numRef>
          </xVal>
          <yVal>
            <numRef>
              <f>'SSI Chart'!$G$11:$G$36</f>
              <numCache>
                <formatCode>0.00</formatCode>
                <ptCount val="26"/>
                <pt idx="0">
                  <v>0.3466</v>
                </pt>
                <pt idx="1">
                  <v>0.3919</v>
                </pt>
                <pt idx="2">
                  <v>0.5219</v>
                </pt>
                <pt idx="3">
                  <v>0.7682</v>
                </pt>
                <pt idx="4">
                  <v>0.9129</v>
                </pt>
                <pt idx="5">
                  <v>1.3338</v>
                </pt>
                <pt idx="6">
                  <v>1.5089</v>
                </pt>
                <pt idx="7">
                  <v>1.7516</v>
                </pt>
                <pt idx="8">
                  <v>1.9027</v>
                </pt>
                <pt idx="9">
                  <v>2.1409</v>
                </pt>
                <pt idx="10">
                  <v>2.3214</v>
                </pt>
                <pt idx="11">
                  <v>2.737</v>
                </pt>
                <pt idx="12">
                  <v>3.1138</v>
                </pt>
                <pt idx="13">
                  <v>3.2842</v>
                </pt>
                <pt idx="14">
                  <v>3.3085</v>
                </pt>
                <pt idx="15">
                  <v>3.1965</v>
                </pt>
                <pt idx="16">
                  <v>2.9886</v>
                </pt>
                <pt idx="17">
                  <v>2.7157</v>
                </pt>
                <pt idx="18">
                  <v>2.5159</v>
                </pt>
                <pt idx="19">
                  <v>2.7233</v>
                </pt>
                <pt idx="20">
                  <v>2.6889</v>
                </pt>
                <pt idx="21">
                  <v>2.5124</v>
                </pt>
                <pt idx="22">
                  <v>2.0411</v>
                </pt>
                <pt idx="23">
                  <v>1.7942</v>
                </pt>
                <pt idx="24">
                  <v>1.4163</v>
                </pt>
                <pt idx="25">
                  <v>1.2125</v>
                </pt>
              </numCache>
            </numRef>
          </yVal>
          <smooth val="1"/>
        </ser>
        <ser>
          <idx val="1"/>
          <order val="1"/>
          <tx>
            <v>S1</v>
          </tx>
          <spPr>
            <a:ln xmlns:a="http://schemas.openxmlformats.org/drawingml/2006/main" w="28440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1E40AF"/>
              </a:solidFill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1"/>
            <showPercent val="0"/>
            <showBubbleSize val="1"/>
            <showLeaderLines val="0"/>
          </dLbls>
          <xVal>
            <numRef>
              <f>'SSI Chart'!$F$11</f>
              <numCache>
                <formatCode>General</formatCode>
                <ptCount val="1"/>
                <pt idx="0">
                  <v>0</v>
                </pt>
              </numCache>
            </numRef>
          </xVal>
          <yVal>
            <numRef>
              <f>'SSI Chart'!$G$11</f>
              <numCache>
                <formatCode>0.00</formatCode>
                <ptCount val="1"/>
                <pt idx="0">
                  <v>0.3466</v>
                </pt>
              </numCache>
            </numRef>
          </yVal>
          <smooth val="1"/>
        </ser>
        <ser>
          <idx val="2"/>
          <order val="2"/>
          <tx>
            <v>S2</v>
          </tx>
          <spPr>
            <a:ln xmlns:a="http://schemas.openxmlformats.org/drawingml/2006/main" w="28440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1E40AF"/>
              </a:solidFill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1"/>
            <showPercent val="0"/>
            <showBubbleSize val="1"/>
            <showLeaderLines val="0"/>
          </dLbls>
          <xVal>
            <numRef>
              <f>'SSI Chart'!$F$12</f>
              <numCache>
                <formatCode>General</formatCode>
                <ptCount val="1"/>
                <pt idx="0">
                  <v>14</v>
                </pt>
              </numCache>
            </numRef>
          </xVal>
          <yVal>
            <numRef>
              <f>'SSI Chart'!$G$12</f>
              <numCache>
                <formatCode>0.00</formatCode>
                <ptCount val="1"/>
                <pt idx="0">
                  <v>0.3919</v>
                </pt>
              </numCache>
            </numRef>
          </yVal>
          <smooth val="1"/>
        </ser>
        <ser>
          <idx val="3"/>
          <order val="3"/>
          <tx>
            <v>S3</v>
          </tx>
          <spPr>
            <a:ln xmlns:a="http://schemas.openxmlformats.org/drawingml/2006/main" w="28440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1E40AF"/>
              </a:solidFill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1"/>
            <showPercent val="0"/>
            <showBubbleSize val="1"/>
            <showLeaderLines val="0"/>
          </dLbls>
          <xVal>
            <numRef>
              <f>'SSI Chart'!$F$13</f>
              <numCache>
                <formatCode>General</formatCode>
                <ptCount val="1"/>
                <pt idx="0">
                  <v>28</v>
                </pt>
              </numCache>
            </numRef>
          </xVal>
          <yVal>
            <numRef>
              <f>'SSI Chart'!$G$13</f>
              <numCache>
                <formatCode>0.00</formatCode>
                <ptCount val="1"/>
                <pt idx="0">
                  <v>0.5219</v>
                </pt>
              </numCache>
            </numRef>
          </yVal>
          <smooth val="1"/>
        </ser>
        <ser>
          <idx val="4"/>
          <order val="4"/>
          <tx>
            <v>S4</v>
          </tx>
          <spPr>
            <a:ln xmlns:a="http://schemas.openxmlformats.org/drawingml/2006/main" w="28440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1E40AF"/>
              </a:solidFill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1"/>
            <showPercent val="0"/>
            <showBubbleSize val="1"/>
            <showLeaderLines val="0"/>
          </dLbls>
          <xVal>
            <numRef>
              <f>'SSI Chart'!$F$14</f>
              <numCache>
                <formatCode>General</formatCode>
                <ptCount val="1"/>
                <pt idx="0">
                  <v>42</v>
                </pt>
              </numCache>
            </numRef>
          </xVal>
          <yVal>
            <numRef>
              <f>'SSI Chart'!$G$14</f>
              <numCache>
                <formatCode>0.00</formatCode>
                <ptCount val="1"/>
                <pt idx="0">
                  <v>0.7682</v>
                </pt>
              </numCache>
            </numRef>
          </yVal>
          <smooth val="1"/>
        </ser>
        <ser>
          <idx val="5"/>
          <order val="5"/>
          <tx>
            <v>S5</v>
          </tx>
          <spPr>
            <a:ln xmlns:a="http://schemas.openxmlformats.org/drawingml/2006/main" w="28440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1E40AF"/>
              </a:solidFill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1"/>
            <showPercent val="0"/>
            <showBubbleSize val="1"/>
            <showLeaderLines val="0"/>
          </dLbls>
          <xVal>
            <numRef>
              <f>'SSI Chart'!$F$15</f>
              <numCache>
                <formatCode>General</formatCode>
                <ptCount val="1"/>
                <pt idx="0">
                  <v>49</v>
                </pt>
              </numCache>
            </numRef>
          </xVal>
          <yVal>
            <numRef>
              <f>'SSI Chart'!$G$15</f>
              <numCache>
                <formatCode>0.00</formatCode>
                <ptCount val="1"/>
                <pt idx="0">
                  <v>0.9129</v>
                </pt>
              </numCache>
            </numRef>
          </yVal>
          <smooth val="1"/>
        </ser>
        <ser>
          <idx val="6"/>
          <order val="6"/>
          <tx>
            <v>S6</v>
          </tx>
          <spPr>
            <a:ln xmlns:a="http://schemas.openxmlformats.org/drawingml/2006/main" w="28440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1E40AF"/>
              </a:solidFill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1"/>
            <showPercent val="0"/>
            <showBubbleSize val="1"/>
            <showLeaderLines val="0"/>
          </dLbls>
          <xVal>
            <numRef>
              <f>'SSI Chart'!$F$16</f>
              <numCache>
                <formatCode>General</formatCode>
                <ptCount val="1"/>
                <pt idx="0">
                  <v>63</v>
                </pt>
              </numCache>
            </numRef>
          </xVal>
          <yVal>
            <numRef>
              <f>'SSI Chart'!$G$16</f>
              <numCache>
                <formatCode>0.00</formatCode>
                <ptCount val="1"/>
                <pt idx="0">
                  <v>1.3338</v>
                </pt>
              </numCache>
            </numRef>
          </yVal>
          <smooth val="1"/>
        </ser>
        <ser>
          <idx val="7"/>
          <order val="7"/>
          <tx>
            <v>S7</v>
          </tx>
          <spPr>
            <a:ln xmlns:a="http://schemas.openxmlformats.org/drawingml/2006/main" w="28440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1E40AF"/>
              </a:solidFill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1"/>
            <showPercent val="0"/>
            <showBubbleSize val="1"/>
            <showLeaderLines val="0"/>
          </dLbls>
          <xVal>
            <numRef>
              <f>'SSI Chart'!$F$17</f>
              <numCache>
                <formatCode>General</formatCode>
                <ptCount val="1"/>
                <pt idx="0">
                  <v>70</v>
                </pt>
              </numCache>
            </numRef>
          </xVal>
          <yVal>
            <numRef>
              <f>'SSI Chart'!$G$17</f>
              <numCache>
                <formatCode>0.00</formatCode>
                <ptCount val="1"/>
                <pt idx="0">
                  <v>1.5089</v>
                </pt>
              </numCache>
            </numRef>
          </yVal>
          <smooth val="1"/>
        </ser>
        <ser>
          <idx val="8"/>
          <order val="8"/>
          <tx>
            <v>S8</v>
          </tx>
          <spPr>
            <a:ln xmlns:a="http://schemas.openxmlformats.org/drawingml/2006/main" w="28440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1E40AF"/>
              </a:solidFill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1"/>
            <showPercent val="0"/>
            <showBubbleSize val="1"/>
            <showLeaderLines val="0"/>
          </dLbls>
          <xVal>
            <numRef>
              <f>'SSI Chart'!$F$18</f>
              <numCache>
                <formatCode>General</formatCode>
                <ptCount val="1"/>
                <pt idx="0">
                  <v>77</v>
                </pt>
              </numCache>
            </numRef>
          </xVal>
          <yVal>
            <numRef>
              <f>'SSI Chart'!$G$18</f>
              <numCache>
                <formatCode>0.00</formatCode>
                <ptCount val="1"/>
                <pt idx="0">
                  <v>1.7516</v>
                </pt>
              </numCache>
            </numRef>
          </yVal>
          <smooth val="1"/>
        </ser>
        <ser>
          <idx val="9"/>
          <order val="9"/>
          <tx>
            <v>S9</v>
          </tx>
          <spPr>
            <a:ln xmlns:a="http://schemas.openxmlformats.org/drawingml/2006/main" w="28440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1E40AF"/>
              </a:solidFill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1"/>
            <showPercent val="0"/>
            <showBubbleSize val="1"/>
            <showLeaderLines val="0"/>
          </dLbls>
          <xVal>
            <numRef>
              <f>'SSI Chart'!$F$19</f>
              <numCache>
                <formatCode>General</formatCode>
                <ptCount val="1"/>
                <pt idx="0">
                  <v>91</v>
                </pt>
              </numCache>
            </numRef>
          </xVal>
          <yVal>
            <numRef>
              <f>'SSI Chart'!$G$19</f>
              <numCache>
                <formatCode>0.00</formatCode>
                <ptCount val="1"/>
                <pt idx="0">
                  <v>1.9027</v>
                </pt>
              </numCache>
            </numRef>
          </yVal>
          <smooth val="1"/>
        </ser>
        <ser>
          <idx val="10"/>
          <order val="10"/>
          <tx>
            <v>S10</v>
          </tx>
          <spPr>
            <a:ln xmlns:a="http://schemas.openxmlformats.org/drawingml/2006/main" w="28440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1E40AF"/>
              </a:solidFill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1"/>
            <showPercent val="0"/>
            <showBubbleSize val="1"/>
            <showLeaderLines val="0"/>
          </dLbls>
          <xVal>
            <numRef>
              <f>'SSI Chart'!$F$20</f>
              <numCache>
                <formatCode>General</formatCode>
                <ptCount val="1"/>
                <pt idx="0">
                  <v>98</v>
                </pt>
              </numCache>
            </numRef>
          </xVal>
          <yVal>
            <numRef>
              <f>'SSI Chart'!$G$20</f>
              <numCache>
                <formatCode>0.00</formatCode>
                <ptCount val="1"/>
                <pt idx="0">
                  <v>2.1409</v>
                </pt>
              </numCache>
            </numRef>
          </yVal>
          <smooth val="1"/>
        </ser>
        <ser>
          <idx val="11"/>
          <order val="11"/>
          <tx>
            <v>S11</v>
          </tx>
          <spPr>
            <a:ln xmlns:a="http://schemas.openxmlformats.org/drawingml/2006/main" w="28440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1E40AF"/>
              </a:solidFill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1"/>
            <showPercent val="0"/>
            <showBubbleSize val="1"/>
            <showLeaderLines val="0"/>
          </dLbls>
          <xVal>
            <numRef>
              <f>'SSI Chart'!$F$21</f>
              <numCache>
                <formatCode>General</formatCode>
                <ptCount val="1"/>
                <pt idx="0">
                  <v>105</v>
                </pt>
              </numCache>
            </numRef>
          </xVal>
          <yVal>
            <numRef>
              <f>'SSI Chart'!$G$21</f>
              <numCache>
                <formatCode>0.00</formatCode>
                <ptCount val="1"/>
                <pt idx="0">
                  <v>2.3214</v>
                </pt>
              </numCache>
            </numRef>
          </yVal>
          <smooth val="1"/>
        </ser>
        <ser>
          <idx val="12"/>
          <order val="12"/>
          <tx>
            <v>S12</v>
          </tx>
          <spPr>
            <a:ln xmlns:a="http://schemas.openxmlformats.org/drawingml/2006/main" w="28440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1E40AF"/>
              </a:solidFill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1"/>
            <showPercent val="0"/>
            <showBubbleSize val="1"/>
            <showLeaderLines val="0"/>
          </dLbls>
          <xVal>
            <numRef>
              <f>'SSI Chart'!$F$22</f>
              <numCache>
                <formatCode>General</formatCode>
                <ptCount val="1"/>
                <pt idx="0">
                  <v>112</v>
                </pt>
              </numCache>
            </numRef>
          </xVal>
          <yVal>
            <numRef>
              <f>'SSI Chart'!$G$22</f>
              <numCache>
                <formatCode>0.00</formatCode>
                <ptCount val="1"/>
                <pt idx="0">
                  <v>2.737</v>
                </pt>
              </numCache>
            </numRef>
          </yVal>
          <smooth val="1"/>
        </ser>
        <ser>
          <idx val="13"/>
          <order val="13"/>
          <tx>
            <v>S13</v>
          </tx>
          <spPr>
            <a:ln xmlns:a="http://schemas.openxmlformats.org/drawingml/2006/main" w="28440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1E40AF"/>
              </a:solidFill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1"/>
            <showPercent val="0"/>
            <showBubbleSize val="1"/>
            <showLeaderLines val="0"/>
          </dLbls>
          <xVal>
            <numRef>
              <f>'SSI Chart'!$F$23</f>
              <numCache>
                <formatCode>General</formatCode>
                <ptCount val="1"/>
                <pt idx="0">
                  <v>119</v>
                </pt>
              </numCache>
            </numRef>
          </xVal>
          <yVal>
            <numRef>
              <f>'SSI Chart'!$G$23</f>
              <numCache>
                <formatCode>0.00</formatCode>
                <ptCount val="1"/>
                <pt idx="0">
                  <v>3.1138</v>
                </pt>
              </numCache>
            </numRef>
          </yVal>
          <smooth val="1"/>
        </ser>
        <ser>
          <idx val="14"/>
          <order val="14"/>
          <tx>
            <v>S14</v>
          </tx>
          <spPr>
            <a:ln xmlns:a="http://schemas.openxmlformats.org/drawingml/2006/main" w="28440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1E40AF"/>
              </a:solidFill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1"/>
            <showPercent val="0"/>
            <showBubbleSize val="1"/>
            <showLeaderLines val="0"/>
          </dLbls>
          <xVal>
            <numRef>
              <f>'SSI Chart'!$F$24</f>
              <numCache>
                <formatCode>General</formatCode>
                <ptCount val="1"/>
                <pt idx="0">
                  <v>133</v>
                </pt>
              </numCache>
            </numRef>
          </xVal>
          <yVal>
            <numRef>
              <f>'SSI Chart'!$G$24</f>
              <numCache>
                <formatCode>0.00</formatCode>
                <ptCount val="1"/>
                <pt idx="0">
                  <v>3.2842</v>
                </pt>
              </numCache>
            </numRef>
          </yVal>
          <smooth val="1"/>
        </ser>
        <ser>
          <idx val="15"/>
          <order val="15"/>
          <tx>
            <v>S15</v>
          </tx>
          <spPr>
            <a:ln xmlns:a="http://schemas.openxmlformats.org/drawingml/2006/main" w="28440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1E40AF"/>
              </a:solidFill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1"/>
            <showPercent val="0"/>
            <showBubbleSize val="1"/>
            <showLeaderLines val="0"/>
          </dLbls>
          <xVal>
            <numRef>
              <f>'SSI Chart'!$F$25</f>
              <numCache>
                <formatCode>General</formatCode>
                <ptCount val="1"/>
                <pt idx="0">
                  <v>140</v>
                </pt>
              </numCache>
            </numRef>
          </xVal>
          <yVal>
            <numRef>
              <f>'SSI Chart'!$G$25</f>
              <numCache>
                <formatCode>0.00</formatCode>
                <ptCount val="1"/>
                <pt idx="0">
                  <v>3.3085</v>
                </pt>
              </numCache>
            </numRef>
          </yVal>
          <smooth val="1"/>
        </ser>
        <ser>
          <idx val="16"/>
          <order val="16"/>
          <tx>
            <v>S16</v>
          </tx>
          <spPr>
            <a:ln xmlns:a="http://schemas.openxmlformats.org/drawingml/2006/main" w="28440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1E40AF"/>
              </a:solidFill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1"/>
            <showPercent val="0"/>
            <showBubbleSize val="1"/>
            <showLeaderLines val="0"/>
          </dLbls>
          <xVal>
            <numRef>
              <f>'SSI Chart'!$F$26</f>
              <numCache>
                <formatCode>General</formatCode>
                <ptCount val="1"/>
                <pt idx="0">
                  <v>147</v>
                </pt>
              </numCache>
            </numRef>
          </xVal>
          <yVal>
            <numRef>
              <f>'SSI Chart'!$G$26</f>
              <numCache>
                <formatCode>0.00</formatCode>
                <ptCount val="1"/>
                <pt idx="0">
                  <v>3.1965</v>
                </pt>
              </numCache>
            </numRef>
          </yVal>
          <smooth val="1"/>
        </ser>
        <ser>
          <idx val="17"/>
          <order val="17"/>
          <tx>
            <v>S17</v>
          </tx>
          <spPr>
            <a:ln xmlns:a="http://schemas.openxmlformats.org/drawingml/2006/main" w="28440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1E40AF"/>
              </a:solidFill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1"/>
            <showPercent val="0"/>
            <showBubbleSize val="1"/>
            <showLeaderLines val="0"/>
          </dLbls>
          <xVal>
            <numRef>
              <f>'SSI Chart'!$F$27</f>
              <numCache>
                <formatCode>General</formatCode>
                <ptCount val="1"/>
                <pt idx="0">
                  <v>154</v>
                </pt>
              </numCache>
            </numRef>
          </xVal>
          <yVal>
            <numRef>
              <f>'SSI Chart'!$G$27</f>
              <numCache>
                <formatCode>0.00</formatCode>
                <ptCount val="1"/>
                <pt idx="0">
                  <v>2.9886</v>
                </pt>
              </numCache>
            </numRef>
          </yVal>
          <smooth val="1"/>
        </ser>
        <ser>
          <idx val="18"/>
          <order val="18"/>
          <tx>
            <v>S18</v>
          </tx>
          <spPr>
            <a:ln xmlns:a="http://schemas.openxmlformats.org/drawingml/2006/main" w="28440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1E40AF"/>
              </a:solidFill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1"/>
            <showPercent val="0"/>
            <showBubbleSize val="1"/>
            <showLeaderLines val="0"/>
          </dLbls>
          <xVal>
            <numRef>
              <f>'SSI Chart'!$F$28</f>
              <numCache>
                <formatCode>General</formatCode>
                <ptCount val="1"/>
                <pt idx="0">
                  <v>161</v>
                </pt>
              </numCache>
            </numRef>
          </xVal>
          <yVal>
            <numRef>
              <f>'SSI Chart'!$G$28</f>
              <numCache>
                <formatCode>0.00</formatCode>
                <ptCount val="1"/>
                <pt idx="0">
                  <v>2.7157</v>
                </pt>
              </numCache>
            </numRef>
          </yVal>
          <smooth val="1"/>
        </ser>
        <ser>
          <idx val="19"/>
          <order val="19"/>
          <tx>
            <v>S19</v>
          </tx>
          <spPr>
            <a:ln xmlns:a="http://schemas.openxmlformats.org/drawingml/2006/main" w="28440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1E40AF"/>
              </a:solidFill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1"/>
            <showPercent val="0"/>
            <showBubbleSize val="1"/>
            <showLeaderLines val="0"/>
          </dLbls>
          <xVal>
            <numRef>
              <f>'SSI Chart'!$F$29</f>
              <numCache>
                <formatCode>General</formatCode>
                <ptCount val="1"/>
                <pt idx="0">
                  <v>168</v>
                </pt>
              </numCache>
            </numRef>
          </xVal>
          <yVal>
            <numRef>
              <f>'SSI Chart'!$G$29</f>
              <numCache>
                <formatCode>0.00</formatCode>
                <ptCount val="1"/>
                <pt idx="0">
                  <v>2.5159</v>
                </pt>
              </numCache>
            </numRef>
          </yVal>
          <smooth val="1"/>
        </ser>
        <ser>
          <idx val="20"/>
          <order val="20"/>
          <tx>
            <v>S20</v>
          </tx>
          <spPr>
            <a:ln xmlns:a="http://schemas.openxmlformats.org/drawingml/2006/main" w="28440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1E40AF"/>
              </a:solidFill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1"/>
            <showPercent val="0"/>
            <showBubbleSize val="1"/>
            <showLeaderLines val="0"/>
          </dLbls>
          <xVal>
            <numRef>
              <f>'SSI Chart'!$F$30</f>
              <numCache>
                <formatCode>General</formatCode>
                <ptCount val="1"/>
                <pt idx="0">
                  <v>182</v>
                </pt>
              </numCache>
            </numRef>
          </xVal>
          <yVal>
            <numRef>
              <f>'SSI Chart'!$G$30</f>
              <numCache>
                <formatCode>0.00</formatCode>
                <ptCount val="1"/>
                <pt idx="0">
                  <v>2.7233</v>
                </pt>
              </numCache>
            </numRef>
          </yVal>
          <smooth val="1"/>
        </ser>
        <ser>
          <idx val="21"/>
          <order val="21"/>
          <tx>
            <v>S21</v>
          </tx>
          <spPr>
            <a:ln xmlns:a="http://schemas.openxmlformats.org/drawingml/2006/main" w="28440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1E40AF"/>
              </a:solidFill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1"/>
            <showPercent val="0"/>
            <showBubbleSize val="1"/>
            <showLeaderLines val="0"/>
          </dLbls>
          <xVal>
            <numRef>
              <f>'SSI Chart'!$F$31</f>
              <numCache>
                <formatCode>General</formatCode>
                <ptCount val="1"/>
                <pt idx="0">
                  <v>189</v>
                </pt>
              </numCache>
            </numRef>
          </xVal>
          <yVal>
            <numRef>
              <f>'SSI Chart'!$G$31</f>
              <numCache>
                <formatCode>0.00</formatCode>
                <ptCount val="1"/>
                <pt idx="0">
                  <v>2.6889</v>
                </pt>
              </numCache>
            </numRef>
          </yVal>
          <smooth val="1"/>
        </ser>
        <ser>
          <idx val="22"/>
          <order val="22"/>
          <tx>
            <v>S22</v>
          </tx>
          <spPr>
            <a:ln xmlns:a="http://schemas.openxmlformats.org/drawingml/2006/main" w="28440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1E40AF"/>
              </a:solidFill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1"/>
            <showPercent val="0"/>
            <showBubbleSize val="1"/>
            <showLeaderLines val="0"/>
          </dLbls>
          <xVal>
            <numRef>
              <f>'SSI Chart'!$F$32</f>
              <numCache>
                <formatCode>General</formatCode>
                <ptCount val="1"/>
                <pt idx="0">
                  <v>196</v>
                </pt>
              </numCache>
            </numRef>
          </xVal>
          <yVal>
            <numRef>
              <f>'SSI Chart'!$G$32</f>
              <numCache>
                <formatCode>0.00</formatCode>
                <ptCount val="1"/>
                <pt idx="0">
                  <v>2.5124</v>
                </pt>
              </numCache>
            </numRef>
          </yVal>
          <smooth val="1"/>
        </ser>
        <ser>
          <idx val="23"/>
          <order val="23"/>
          <tx>
            <v>S23</v>
          </tx>
          <spPr>
            <a:ln xmlns:a="http://schemas.openxmlformats.org/drawingml/2006/main" w="28440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1E40AF"/>
              </a:solidFill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1"/>
            <showPercent val="0"/>
            <showBubbleSize val="1"/>
            <showLeaderLines val="0"/>
          </dLbls>
          <xVal>
            <numRef>
              <f>'SSI Chart'!$F$33</f>
              <numCache>
                <formatCode>General</formatCode>
                <ptCount val="1"/>
                <pt idx="0">
                  <v>210</v>
                </pt>
              </numCache>
            </numRef>
          </xVal>
          <yVal>
            <numRef>
              <f>'SSI Chart'!$G$33</f>
              <numCache>
                <formatCode>0.00</formatCode>
                <ptCount val="1"/>
                <pt idx="0">
                  <v>2.0411</v>
                </pt>
              </numCache>
            </numRef>
          </yVal>
          <smooth val="1"/>
        </ser>
        <ser>
          <idx val="24"/>
          <order val="24"/>
          <tx>
            <v>S24</v>
          </tx>
          <spPr>
            <a:ln xmlns:a="http://schemas.openxmlformats.org/drawingml/2006/main" w="28440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1E40AF"/>
              </a:solidFill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1"/>
            <showPercent val="0"/>
            <showBubbleSize val="1"/>
            <showLeaderLines val="0"/>
          </dLbls>
          <xVal>
            <numRef>
              <f>'SSI Chart'!$F$34</f>
              <numCache>
                <formatCode>General</formatCode>
                <ptCount val="1"/>
                <pt idx="0">
                  <v>224</v>
                </pt>
              </numCache>
            </numRef>
          </xVal>
          <yVal>
            <numRef>
              <f>'SSI Chart'!$G$34</f>
              <numCache>
                <formatCode>0.00</formatCode>
                <ptCount val="1"/>
                <pt idx="0">
                  <v>1.7942</v>
                </pt>
              </numCache>
            </numRef>
          </yVal>
          <smooth val="1"/>
        </ser>
        <ser>
          <idx val="25"/>
          <order val="25"/>
          <tx>
            <v>S25</v>
          </tx>
          <spPr>
            <a:ln xmlns:a="http://schemas.openxmlformats.org/drawingml/2006/main" w="28440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1E40AF"/>
              </a:solidFill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1"/>
            <showPercent val="0"/>
            <showBubbleSize val="1"/>
            <showLeaderLines val="0"/>
          </dLbls>
          <xVal>
            <numRef>
              <f>'SSI Chart'!$F$35</f>
              <numCache>
                <formatCode>General</formatCode>
                <ptCount val="1"/>
                <pt idx="0">
                  <v>238</v>
                </pt>
              </numCache>
            </numRef>
          </xVal>
          <yVal>
            <numRef>
              <f>'SSI Chart'!$G$35</f>
              <numCache>
                <formatCode>0.00</formatCode>
                <ptCount val="1"/>
                <pt idx="0">
                  <v>1.4163</v>
                </pt>
              </numCache>
            </numRef>
          </yVal>
          <smooth val="1"/>
        </ser>
        <ser>
          <idx val="26"/>
          <order val="26"/>
          <tx>
            <v>S26</v>
          </tx>
          <spPr>
            <a:ln xmlns:a="http://schemas.openxmlformats.org/drawingml/2006/main" w="28440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1E40AF"/>
              </a:solidFill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0"/>
            <showCatName val="0"/>
            <showSerName val="1"/>
            <showPercent val="0"/>
            <showBubbleSize val="1"/>
            <showLeaderLines val="0"/>
          </dLbls>
          <xVal>
            <numRef>
              <f>'SSI Chart'!$F$36</f>
              <numCache>
                <formatCode>General</formatCode>
                <ptCount val="1"/>
                <pt idx="0">
                  <v>252</v>
                </pt>
              </numCache>
            </numRef>
          </xVal>
          <yVal>
            <numRef>
              <f>'SSI Chart'!$G$36</f>
              <numCache>
                <formatCode>0.00</formatCode>
                <ptCount val="1"/>
                <pt idx="0">
                  <v>1.2125</v>
                </pt>
              </numCache>
            </numRef>
          </yVal>
          <smooth val="1"/>
        </ser>
        <ser>
          <idx val="27"/>
          <order val="27"/>
          <tx>
            <v>SSI=0.5</v>
          </tx>
          <spPr>
            <a:ln xmlns:a="http://schemas.openxmlformats.org/drawingml/2006/main" w="5040">
              <a:solidFill>
                <a:srgbClr val="94A3B8"/>
              </a:solidFill>
              <a:prstDash val="sysDot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xVal>
            <numRef>
              <f>'SSI Chart'!$F$38:$F$39</f>
              <numCache>
                <formatCode>General</formatCode>
                <ptCount val="2"/>
                <pt idx="0">
                  <v>0</v>
                </pt>
                <pt idx="1">
                  <v>270</v>
                </pt>
              </numCache>
            </numRef>
          </xVal>
          <yVal>
            <numRef>
              <f>'SSI Chart'!$G$38:$G$39</f>
              <numCache>
                <formatCode>General</formatCode>
                <ptCount val="2"/>
                <pt idx="0">
                  <v>0.5</v>
                </pt>
                <pt idx="1">
                  <v>0.5</v>
                </pt>
              </numCache>
            </numRef>
          </yVal>
          <smooth val="1"/>
        </ser>
        <ser>
          <idx val="28"/>
          <order val="28"/>
          <tx>
            <v>SSI=1.5</v>
          </tx>
          <spPr>
            <a:ln xmlns:a="http://schemas.openxmlformats.org/drawingml/2006/main" w="5040">
              <a:solidFill>
                <a:srgbClr val="94A3B8"/>
              </a:solidFill>
              <a:prstDash val="sysDot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xVal>
            <numRef>
              <f>'SSI Chart'!$F$40:$F$41</f>
              <numCache>
                <formatCode>General</formatCode>
                <ptCount val="2"/>
                <pt idx="0">
                  <v>0</v>
                </pt>
                <pt idx="1">
                  <v>270</v>
                </pt>
              </numCache>
            </numRef>
          </xVal>
          <yVal>
            <numRef>
              <f>'SSI Chart'!$G$40:$G$41</f>
              <numCache>
                <formatCode>General</formatCode>
                <ptCount val="2"/>
                <pt idx="0">
                  <v>1.5</v>
                </pt>
                <pt idx="1">
                  <v>1.5</v>
                </pt>
              </numCache>
            </numRef>
          </yVal>
          <smooth val="1"/>
        </ser>
        <ser>
          <idx val="29"/>
          <order val="29"/>
          <tx>
            <v>SSI=2.5</v>
          </tx>
          <spPr>
            <a:ln xmlns:a="http://schemas.openxmlformats.org/drawingml/2006/main" w="5040">
              <a:solidFill>
                <a:srgbClr val="94A3B8"/>
              </a:solidFill>
              <a:prstDash val="sysDot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xVal>
            <numRef>
              <f>'SSI Chart'!$F$42:$F$43</f>
              <numCache>
                <formatCode>General</formatCode>
                <ptCount val="2"/>
                <pt idx="0">
                  <v>0</v>
                </pt>
                <pt idx="1">
                  <v>270</v>
                </pt>
              </numCache>
            </numRef>
          </xVal>
          <yVal>
            <numRef>
              <f>'SSI Chart'!$G$42:$G$43</f>
              <numCache>
                <formatCode>General</formatCode>
                <ptCount val="2"/>
                <pt idx="0">
                  <v>2.5</v>
                </pt>
                <pt idx="1">
                  <v>2.5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9670507"/>
        <axId val="75138622"/>
      </scatterChart>
      <valAx>
        <axId val="29670507"/>
        <scaling>
          <orientation val="minMax"/>
          <max val="270"/>
          <min val="0"/>
        </scaling>
        <delete val="0"/>
        <axPos val="b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Day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75138622"/>
        <crosses val="autoZero"/>
        <crossBetween val="midCat"/>
      </valAx>
      <valAx>
        <axId val="75138622"/>
        <scaling>
          <orientation val="minMax"/>
          <max val="3.6"/>
          <min val="0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Session Severity Index (S)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0.00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29670507"/>
        <crosses val="autoZero"/>
        <crossBetween val="midCat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38</row>
      <rowOff>160920</rowOff>
    </from>
    <to>
      <col>8</col>
      <colOff>556560</colOff>
      <row>69</row>
      <rowOff>15120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16A34A"/>
    <outlinePr summaryBelow="1" summaryRight="1"/>
    <pageSetUpPr/>
  </sheetPr>
  <dimension ref="A1:A27"/>
  <sheetViews>
    <sheetView tabSelected="1" zoomScaleNormal="100" workbookViewId="0">
      <selection activeCell="A46" sqref="A46"/>
    </sheetView>
  </sheetViews>
  <sheetFormatPr baseColWidth="10" defaultColWidth="8.6640625" defaultRowHeight="15"/>
  <cols>
    <col width="100" customWidth="1" min="1" max="1"/>
  </cols>
  <sheetData>
    <row r="1" ht="18" customHeight="1">
      <c r="A1" s="7" t="inlineStr">
        <is>
          <t>WSCM-Lite Simulator — Quick Start Guide</t>
        </is>
      </c>
    </row>
    <row r="3">
      <c r="A3" s="8" t="inlineStr">
        <is>
          <t>Step 1: Set your cadence</t>
        </is>
      </c>
    </row>
    <row r="4">
      <c r="A4" s="22" t="inlineStr">
        <is>
          <t>Go to Config. Enter 'Weekly', 'Biweekly', or 'Monthly' in cell B4.</t>
        </is>
      </c>
    </row>
    <row r="6">
      <c r="A6" s="8" t="inlineStr">
        <is>
          <t>Step 2: Enter session data</t>
        </is>
      </c>
    </row>
    <row r="7">
      <c r="A7" s="22" t="inlineStr">
        <is>
          <t>Go to Signal Tracker. Fill in: Day, n (assessors), NRS scores (0–4) for x and y.</t>
        </is>
      </c>
    </row>
    <row r="9">
      <c r="A9" s="8" t="inlineStr">
        <is>
          <t>Step 3: Record occurrences</t>
        </is>
      </c>
    </row>
    <row r="10">
      <c r="A10" s="22" t="inlineStr">
        <is>
          <t>In 'Occurrences' (AB), enter new real-world occurrences. 'f (cum.)' (AC) auto-calculates.</t>
        </is>
      </c>
    </row>
    <row r="12">
      <c r="A12" s="8" t="inlineStr">
        <is>
          <t>Step 4: Read the results</t>
        </is>
      </c>
    </row>
    <row r="13">
      <c r="A13" s="22" t="inlineStr">
        <is>
          <t>Columns V–AA auto-compute position, distance, SMS, SSI, Region. The SSI Chart sheet shows severity over time with labeled nodes.</t>
        </is>
      </c>
    </row>
    <row r="15">
      <c r="A15" s="8" t="inlineStr">
        <is>
          <t>Entry Constraint</t>
        </is>
      </c>
    </row>
    <row r="16">
      <c r="A16" s="22" t="inlineStr">
        <is>
          <t>New signals: ALL NRS scores ≤ 1 on both axes.</t>
        </is>
      </c>
    </row>
    <row r="18">
      <c r="A18" s="8" t="inlineStr">
        <is>
          <t>Signal Retirement</t>
        </is>
      </c>
    </row>
    <row r="19">
      <c r="A19" s="22" t="inlineStr">
        <is>
          <t>Retire when d &lt; 1.0 AND the team actively decides.</t>
        </is>
      </c>
    </row>
    <row r="21">
      <c r="A21" s="8" t="inlineStr">
        <is>
          <t>Multiple Signals</t>
        </is>
      </c>
    </row>
    <row r="22">
      <c r="A22" s="22" t="inlineStr">
        <is>
          <t>Duplicate Signal Tracker (right-click → Move or Copy → 'Create a copy').</t>
        </is>
      </c>
    </row>
    <row r="24">
      <c r="A24" s="8" t="inlineStr">
        <is>
          <t>Reference</t>
        </is>
      </c>
    </row>
    <row r="25">
      <c r="A25" s="22" t="inlineStr">
        <is>
          <t>Codourey, M. &amp; Gonzalez, E.A. (2026). The Weak Signal Cultivation Model. arXiv:2604.01495</t>
        </is>
      </c>
    </row>
    <row r="27">
      <c r="A27" s="16" t="inlineStr">
        <is>
          <t>Copyright © 2026. Maurice Codourey and Emmanuel A. Gonzalez. All rights reserved. Version 0.1, April 5, 2026.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tabColor rgb="FF1E3A5F"/>
    <outlinePr summaryBelow="1" summaryRight="1"/>
    <pageSetUpPr/>
  </sheetPr>
  <dimension ref="A1:F31"/>
  <sheetViews>
    <sheetView zoomScaleNormal="100" workbookViewId="0">
      <selection activeCell="A1" sqref="A1:F1"/>
    </sheetView>
  </sheetViews>
  <sheetFormatPr baseColWidth="10" defaultColWidth="8.6640625" defaultRowHeight="15"/>
  <cols>
    <col width="18" customWidth="1" min="1" max="1"/>
    <col width="16" customWidth="1" min="2" max="2"/>
    <col width="42" customWidth="1" min="3" max="3"/>
    <col width="14" customWidth="1" min="4" max="4"/>
  </cols>
  <sheetData>
    <row r="1" ht="18" customHeight="1">
      <c r="A1" s="7" t="inlineStr">
        <is>
          <t>WSCM-Lite Simulator</t>
        </is>
      </c>
    </row>
    <row r="2">
      <c r="A2" s="5" t="inlineStr">
        <is>
          <t>Weak Signal Cultivation Model — Practitioner-Ready Implementation</t>
        </is>
      </c>
    </row>
    <row r="4">
      <c r="A4" s="8" t="inlineStr">
        <is>
          <t>Session Cadence</t>
        </is>
      </c>
      <c r="B4" s="9" t="inlineStr">
        <is>
          <t>Biweekly</t>
        </is>
      </c>
      <c r="C4" s="10" t="inlineStr">
        <is>
          <t>← Enter: Weekly, Biweekly, or Monthly</t>
        </is>
      </c>
    </row>
    <row r="6">
      <c r="A6" s="8" t="inlineStr">
        <is>
          <t>Gap Thresholds (auto-calculated from cadence)</t>
        </is>
      </c>
    </row>
    <row r="7">
      <c r="A7" s="11" t="inlineStr">
        <is>
          <t>Gap Type</t>
        </is>
      </c>
      <c r="B7" s="11" t="inlineStr">
        <is>
          <t>Max Days</t>
        </is>
      </c>
      <c r="C7" s="11" t="inlineStr">
        <is>
          <t>w</t>
        </is>
      </c>
      <c r="D7" s="11" t="inlineStr">
        <is>
          <t>decay</t>
        </is>
      </c>
    </row>
    <row r="8">
      <c r="A8" s="12" t="inlineStr">
        <is>
          <t>Early</t>
        </is>
      </c>
      <c r="B8" s="12">
        <f>IF(B4="Weekly",5,IF(B4="Biweekly",10,22))</f>
        <v/>
      </c>
      <c r="C8" s="12" t="n">
        <v>0.281</v>
      </c>
      <c r="D8" s="12" t="n">
        <v>0.957</v>
      </c>
    </row>
    <row r="9">
      <c r="A9" s="13" t="inlineStr">
        <is>
          <t>Normal</t>
        </is>
      </c>
      <c r="B9" s="13">
        <f>IF(B4="Weekly",10,IF(B4="Biweekly",21,45))</f>
        <v/>
      </c>
      <c r="C9" s="13" t="n">
        <v>0.475</v>
      </c>
      <c r="D9" s="13" t="n">
        <v>0.917</v>
      </c>
    </row>
    <row r="10">
      <c r="A10" s="12" t="inlineStr">
        <is>
          <t>Missed 1</t>
        </is>
      </c>
      <c r="B10" s="12">
        <f>IF(B4="Weekly",21,IF(B4="Biweekly",42,90))</f>
        <v/>
      </c>
      <c r="C10" s="12" t="n">
        <v>0.7</v>
      </c>
      <c r="D10" s="12" t="n">
        <v>0.84</v>
      </c>
    </row>
    <row r="11">
      <c r="A11" s="13" t="inlineStr">
        <is>
          <t>Missed 2+</t>
        </is>
      </c>
      <c r="B11" s="13" t="inlineStr">
        <is>
          <t>—</t>
        </is>
      </c>
      <c r="C11" s="13" t="n">
        <v>0.8</v>
      </c>
      <c r="D11" s="13" t="n">
        <v>0.77</v>
      </c>
    </row>
    <row r="13">
      <c r="A13" s="8" t="inlineStr">
        <is>
          <t>Hardcoded Constants</t>
        </is>
      </c>
    </row>
    <row r="14">
      <c r="A14" s="11" t="inlineStr">
        <is>
          <t>Constant</t>
        </is>
      </c>
      <c r="B14" s="11" t="inlineStr">
        <is>
          <t>Value</t>
        </is>
      </c>
      <c r="C14" s="11" t="inlineStr">
        <is>
          <t>Role</t>
        </is>
      </c>
    </row>
    <row r="15">
      <c r="A15" s="13" t="inlineStr">
        <is>
          <t>n_ref</t>
        </is>
      </c>
      <c r="B15" s="13" t="n">
        <v>5</v>
      </c>
      <c r="C15" s="14" t="inlineStr">
        <is>
          <t>Full committee size</t>
        </is>
      </c>
    </row>
    <row r="16">
      <c r="A16" s="12" t="inlineStr">
        <is>
          <t>α_min</t>
        </is>
      </c>
      <c r="B16" s="12" t="n">
        <v>0.7</v>
      </c>
      <c r="C16" s="15" t="inlineStr">
        <is>
          <t>Solo reporter floor</t>
        </is>
      </c>
    </row>
    <row r="17">
      <c r="A17" s="13" t="inlineStr">
        <is>
          <t>y_min</t>
        </is>
      </c>
      <c r="B17" s="13" t="n">
        <v>0.5</v>
      </c>
      <c r="C17" s="14" t="inlineStr">
        <is>
          <t>Decay floor</t>
        </is>
      </c>
    </row>
    <row r="18">
      <c r="A18" s="12" t="inlineStr">
        <is>
          <t>d_SMS</t>
        </is>
      </c>
      <c r="B18" s="12" t="n">
        <v>7.07</v>
      </c>
      <c r="C18" s="15" t="inlineStr">
        <is>
          <t>SMS escalation threshold</t>
        </is>
      </c>
    </row>
    <row r="19">
      <c r="A19" s="13" t="inlineStr">
        <is>
          <t>d_close</t>
        </is>
      </c>
      <c r="B19" s="13" t="n">
        <v>1</v>
      </c>
      <c r="C19" s="14" t="inlineStr">
        <is>
          <t>Retirement threshold</t>
        </is>
      </c>
    </row>
    <row r="20">
      <c r="A20" s="12" t="inlineStr">
        <is>
          <t>d_max</t>
        </is>
      </c>
      <c r="B20" s="12" t="n">
        <v>14.14</v>
      </c>
      <c r="C20" s="15" t="inlineStr">
        <is>
          <t>SSI normalization</t>
        </is>
      </c>
    </row>
    <row r="22">
      <c r="A22" s="8" t="inlineStr">
        <is>
          <t>NRS Scale Reference</t>
        </is>
      </c>
    </row>
    <row r="23">
      <c r="A23" s="11" t="inlineStr">
        <is>
          <t>NRS Score</t>
        </is>
      </c>
      <c r="B23" s="11" t="inlineStr">
        <is>
          <t>Risk Intensity (x)</t>
        </is>
      </c>
      <c r="C23" s="11" t="inlineStr">
        <is>
          <t>Risk Growth Potential (y)</t>
        </is>
      </c>
    </row>
    <row r="24">
      <c r="A24" s="12" t="n">
        <v>0</v>
      </c>
      <c r="B24" s="15" t="inlineStr">
        <is>
          <t>No concern</t>
        </is>
      </c>
      <c r="C24" s="15" t="inlineStr">
        <is>
          <t>No growth</t>
        </is>
      </c>
    </row>
    <row r="25">
      <c r="A25" s="13" t="n">
        <v>1</v>
      </c>
      <c r="B25" s="14" t="inlineStr">
        <is>
          <t>Minimal</t>
        </is>
      </c>
      <c r="C25" s="14" t="inlineStr">
        <is>
          <t>Minimal</t>
        </is>
      </c>
    </row>
    <row r="26">
      <c r="A26" s="12" t="n">
        <v>2</v>
      </c>
      <c r="B26" s="15" t="inlineStr">
        <is>
          <t>Moderate</t>
        </is>
      </c>
      <c r="C26" s="15" t="inlineStr">
        <is>
          <t>Moderate</t>
        </is>
      </c>
    </row>
    <row r="27">
      <c r="A27" s="13" t="n">
        <v>3</v>
      </c>
      <c r="B27" s="14" t="inlineStr">
        <is>
          <t>Significant</t>
        </is>
      </c>
      <c r="C27" s="14" t="inlineStr">
        <is>
          <t>Significant</t>
        </is>
      </c>
    </row>
    <row r="28">
      <c r="A28" s="12" t="n">
        <v>4</v>
      </c>
      <c r="B28" s="15" t="inlineStr">
        <is>
          <t>Extreme</t>
        </is>
      </c>
      <c r="C28" s="15" t="inlineStr">
        <is>
          <t>Extreme</t>
        </is>
      </c>
    </row>
    <row r="31">
      <c r="A31" s="16" t="inlineStr">
        <is>
          <t>Copyright © 2026. Maurice Codourey and Emmanuel A. Gonzalez. All rights reserved. Version 0.1, April 5, 2026.</t>
        </is>
      </c>
    </row>
  </sheetData>
  <mergeCells count="6">
    <mergeCell ref="A2:F2"/>
    <mergeCell ref="A6:D6"/>
    <mergeCell ref="A22:D22"/>
    <mergeCell ref="A1:F1"/>
    <mergeCell ref="A31:F31"/>
    <mergeCell ref="A13:D13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tabColor rgb="FF1E40AF"/>
    <outlinePr summaryBelow="1" summaryRight="1"/>
    <pageSetUpPr/>
  </sheetPr>
  <dimension ref="A1:AD35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J40" sqref="J40"/>
    </sheetView>
  </sheetViews>
  <sheetFormatPr baseColWidth="10" defaultColWidth="8.6640625" defaultRowHeight="15"/>
  <cols>
    <col width="5" customWidth="1" min="1" max="1"/>
    <col width="8" customWidth="1" min="2" max="2"/>
    <col width="6" customWidth="1" min="3" max="3"/>
    <col width="9" customWidth="1" min="4" max="4"/>
    <col width="7" customWidth="1" min="5" max="6"/>
    <col width="5" customWidth="1" min="7" max="17"/>
    <col width="7" customWidth="1" min="18" max="24"/>
    <col width="6" customWidth="1" min="25" max="25"/>
    <col width="7" customWidth="1" min="26" max="26"/>
    <col width="16" customWidth="1" min="27" max="27"/>
    <col width="12" customWidth="1" min="28" max="28"/>
    <col width="9" customWidth="1" min="29" max="29"/>
    <col width="35" customWidth="1" min="30" max="30"/>
  </cols>
  <sheetData>
    <row r="1">
      <c r="A1" s="8" t="inlineStr">
        <is>
          <t>Signal Name:</t>
        </is>
      </c>
      <c r="B1" s="9" t="inlineStr">
        <is>
          <t>Gas Fumes (Loading Dock B)</t>
        </is>
      </c>
    </row>
    <row r="2" ht="22.25" customHeight="1">
      <c r="H2" s="2" t="inlineStr">
        <is>
          <t>NRS x-scores (Risk Intensity, 0–4)</t>
        </is>
      </c>
      <c r="M2" s="1" t="inlineStr">
        <is>
          <t>NRS y-scores (Risk Growth Potential, 0–4)</t>
        </is>
      </c>
    </row>
    <row r="3">
      <c r="A3" s="11" t="inlineStr">
        <is>
          <t>S</t>
        </is>
      </c>
      <c r="B3" s="11" t="inlineStr">
        <is>
          <t>Day</t>
        </is>
      </c>
      <c r="C3" s="11" t="inlineStr">
        <is>
          <t>Δt</t>
        </is>
      </c>
      <c r="D3" s="11" t="inlineStr">
        <is>
          <t>Gap</t>
        </is>
      </c>
      <c r="E3" s="11" t="inlineStr">
        <is>
          <t>w</t>
        </is>
      </c>
      <c r="F3" s="11" t="inlineStr">
        <is>
          <t>decay</t>
        </is>
      </c>
      <c r="G3" s="11" t="inlineStr">
        <is>
          <t>n</t>
        </is>
      </c>
      <c r="H3" s="11" t="inlineStr">
        <is>
          <t>x₁</t>
        </is>
      </c>
      <c r="I3" s="11" t="inlineStr">
        <is>
          <t>x₂</t>
        </is>
      </c>
      <c r="J3" s="11" t="inlineStr">
        <is>
          <t>x₃</t>
        </is>
      </c>
      <c r="K3" s="11" t="inlineStr">
        <is>
          <t>x₄</t>
        </is>
      </c>
      <c r="L3" s="11" t="inlineStr">
        <is>
          <t>x₅</t>
        </is>
      </c>
      <c r="M3" s="11" t="inlineStr">
        <is>
          <t>y₁</t>
        </is>
      </c>
      <c r="N3" s="11" t="inlineStr">
        <is>
          <t>y₂</t>
        </is>
      </c>
      <c r="O3" s="11" t="inlineStr">
        <is>
          <t>y₃</t>
        </is>
      </c>
      <c r="P3" s="11" t="inlineStr">
        <is>
          <t>y₄</t>
        </is>
      </c>
      <c r="Q3" s="11" t="inlineStr">
        <is>
          <t>y₅</t>
        </is>
      </c>
      <c r="R3" s="11" t="inlineStr">
        <is>
          <t>x_new</t>
        </is>
      </c>
      <c r="S3" s="11" t="inlineStr">
        <is>
          <t>y_new</t>
        </is>
      </c>
      <c r="T3" s="11" t="inlineStr">
        <is>
          <t>c(n)</t>
        </is>
      </c>
      <c r="U3" s="11" t="inlineStr">
        <is>
          <t>w_eff</t>
        </is>
      </c>
      <c r="V3" s="11" t="inlineStr">
        <is>
          <t>x′</t>
        </is>
      </c>
      <c r="W3" s="11" t="inlineStr">
        <is>
          <t>y′</t>
        </is>
      </c>
      <c r="X3" s="11" t="inlineStr">
        <is>
          <t>d</t>
        </is>
      </c>
      <c r="Y3" s="11" t="inlineStr">
        <is>
          <t>SMS?</t>
        </is>
      </c>
      <c r="Z3" s="11" t="inlineStr">
        <is>
          <t>SSI</t>
        </is>
      </c>
      <c r="AA3" s="11" t="inlineStr">
        <is>
          <t>Region</t>
        </is>
      </c>
      <c r="AB3" s="11" t="inlineStr">
        <is>
          <t>Occurrences</t>
        </is>
      </c>
      <c r="AC3" s="11" t="inlineStr">
        <is>
          <t>f (cum.)</t>
        </is>
      </c>
      <c r="AD3" s="11" t="inlineStr">
        <is>
          <t>Notes</t>
        </is>
      </c>
    </row>
    <row r="4">
      <c r="A4" s="12" t="n">
        <v>1</v>
      </c>
      <c r="B4" s="17" t="n">
        <v>0</v>
      </c>
      <c r="C4" s="12" t="n">
        <v>0</v>
      </c>
      <c r="D4" s="12" t="inlineStr">
        <is>
          <t>entry</t>
        </is>
      </c>
      <c r="E4" s="18" t="n">
        <v>1</v>
      </c>
      <c r="F4" s="18" t="n">
        <v>1</v>
      </c>
      <c r="G4" s="17" t="n">
        <v>1</v>
      </c>
      <c r="H4" s="17" t="n">
        <v>1</v>
      </c>
      <c r="I4" s="17" t="n"/>
      <c r="J4" s="17" t="n"/>
      <c r="K4" s="17" t="n"/>
      <c r="L4" s="17" t="n"/>
      <c r="M4" s="17" t="n">
        <v>1</v>
      </c>
      <c r="N4" s="17" t="n"/>
      <c r="O4" s="17" t="n"/>
      <c r="P4" s="17" t="n"/>
      <c r="Q4" s="17" t="n"/>
      <c r="R4" s="18">
        <f>IF(G4="","",2.5*AVERAGE(H4:L4))</f>
        <v/>
      </c>
      <c r="S4" s="18">
        <f>IF(G4="","",2.5*AVERAGE(M4:Q4))</f>
        <v/>
      </c>
      <c r="T4" s="18">
        <f>IF(G4="","",MIN(1,0.7+0.06*G4))</f>
        <v/>
      </c>
      <c r="U4" s="18">
        <f>IF(G4="","",E4*T4)</f>
        <v/>
      </c>
      <c r="V4" s="18">
        <f>IF(R4="","",R4)</f>
        <v/>
      </c>
      <c r="W4" s="18">
        <f>IF(S4="","",S4)</f>
        <v/>
      </c>
      <c r="X4" s="19">
        <f>IF(V4="","",SQRT(V4^2+W4^2))</f>
        <v/>
      </c>
      <c r="Y4" s="12">
        <f>IF(X4="","",IF(X4&gt;=7.07,"YES",""))</f>
        <v/>
      </c>
      <c r="Z4" s="19">
        <f>IF(X4="","",(X4/14.14)*LN(1+AC4))</f>
        <v/>
      </c>
      <c r="AA4" s="12">
        <f>IF(V4="","",IF(AND(V4&lt;5,W4&lt;5),"Question Marks",IF(AND(V4&gt;=5,W4&lt;5),"Lit Fuses",IF(AND(V4&lt;5,W4&gt;=5),"Sleeping Cats","Owls"))))</f>
        <v/>
      </c>
      <c r="AB4" s="17" t="n">
        <v>3</v>
      </c>
      <c r="AC4" s="12">
        <f>IF(AB4="","",AB4)</f>
        <v/>
      </c>
      <c r="AD4" s="17" t="inlineStr">
        <is>
          <t>Entry. Faint smell near loading dock B.</t>
        </is>
      </c>
    </row>
    <row r="5">
      <c r="A5" s="13" t="n">
        <v>2</v>
      </c>
      <c r="B5" s="17" t="n">
        <v>14</v>
      </c>
      <c r="C5" s="13">
        <f>IF(B5="","",B5-B4)</f>
        <v/>
      </c>
      <c r="D5" s="13">
        <f>IF(C5="","",IF(C5&lt;=Config!B8,"early",IF(C5&lt;=Config!B9,"normal",IF(C5&lt;=Config!B10,"missed1","missed2"))))</f>
        <v/>
      </c>
      <c r="E5" s="20">
        <f>IF(D5="","",IF(D5="early",0.281,IF(D5="normal",0.475,IF(D5="missed1",0.7,0.8))))</f>
        <v/>
      </c>
      <c r="F5" s="20">
        <f>IF(D5="","",IF(D5="early",0.957,IF(D5="normal",0.917,IF(D5="missed1",0.84,0.77))))</f>
        <v/>
      </c>
      <c r="G5" s="17" t="n">
        <v>1</v>
      </c>
      <c r="H5" s="17" t="n">
        <v>1</v>
      </c>
      <c r="I5" s="17" t="n"/>
      <c r="J5" s="17" t="n"/>
      <c r="K5" s="17" t="n"/>
      <c r="L5" s="17" t="n"/>
      <c r="M5" s="17" t="n">
        <v>1</v>
      </c>
      <c r="N5" s="17" t="n"/>
      <c r="O5" s="17" t="n"/>
      <c r="P5" s="17" t="n"/>
      <c r="Q5" s="17" t="n"/>
      <c r="R5" s="20">
        <f>IF(G5="","",2.5*AVERAGE(H5:L5))</f>
        <v/>
      </c>
      <c r="S5" s="20">
        <f>IF(G5="","",2.5*AVERAGE(M5:Q5))</f>
        <v/>
      </c>
      <c r="T5" s="20">
        <f>IF(G5="","",MIN(1,0.7+0.06*G5))</f>
        <v/>
      </c>
      <c r="U5" s="20">
        <f>IF(G5="","",E5*T5)</f>
        <v/>
      </c>
      <c r="V5" s="20">
        <f>IF(R5="","",V4+U5*(R5-V4))</f>
        <v/>
      </c>
      <c r="W5" s="20">
        <f>IF(S5="","",MAX(0.5,W4*F5+U5*(S5-W4*F5)))</f>
        <v/>
      </c>
      <c r="X5" s="21">
        <f>IF(V5="","",SQRT(V5^2+W5^2))</f>
        <v/>
      </c>
      <c r="Y5" s="13">
        <f>IF(X5="","",IF(X5&gt;=7.07,"YES",""))</f>
        <v/>
      </c>
      <c r="Z5" s="21">
        <f>IF(X5="","",(X5/14.14)*LN(1+AC5))</f>
        <v/>
      </c>
      <c r="AA5" s="13">
        <f>IF(V5="","",IF(AND(V5&lt;5,W5&lt;5),"Question Marks",IF(AND(V5&gt;=5,W5&lt;5),"Lit Fuses",IF(AND(V5&lt;5,W5&gt;=5),"Sleeping Cats","Owls"))))</f>
        <v/>
      </c>
      <c r="AB5" s="17" t="n">
        <v>1</v>
      </c>
      <c r="AC5" s="13">
        <f>IF(AB5="","",AC4+AB5)</f>
        <v/>
      </c>
      <c r="AD5" s="17" t="inlineStr">
        <is>
          <t>Same report, no escalation.</t>
        </is>
      </c>
    </row>
    <row r="6">
      <c r="A6" s="12" t="n">
        <v>3</v>
      </c>
      <c r="B6" s="17" t="n">
        <v>28</v>
      </c>
      <c r="C6" s="12">
        <f>IF(B6="","",B6-B5)</f>
        <v/>
      </c>
      <c r="D6" s="12">
        <f>IF(C6="","",IF(C6&lt;=Config!B8,"early",IF(C6&lt;=Config!B9,"normal",IF(C6&lt;=Config!B10,"missed1","missed2"))))</f>
        <v/>
      </c>
      <c r="E6" s="18">
        <f>IF(D6="","",IF(D6="early",0.281,IF(D6="normal",0.475,IF(D6="missed1",0.7,0.8))))</f>
        <v/>
      </c>
      <c r="F6" s="18">
        <f>IF(D6="","",IF(D6="early",0.957,IF(D6="normal",0.917,IF(D6="missed1",0.84,0.77))))</f>
        <v/>
      </c>
      <c r="G6" s="17" t="n">
        <v>2</v>
      </c>
      <c r="H6" s="17" t="n">
        <v>1</v>
      </c>
      <c r="I6" s="17" t="n">
        <v>1</v>
      </c>
      <c r="J6" s="17" t="n"/>
      <c r="K6" s="17" t="n"/>
      <c r="L6" s="17" t="n"/>
      <c r="M6" s="17" t="n">
        <v>2</v>
      </c>
      <c r="N6" s="17" t="n">
        <v>2</v>
      </c>
      <c r="O6" s="17" t="n"/>
      <c r="P6" s="17" t="n"/>
      <c r="Q6" s="17" t="n"/>
      <c r="R6" s="18">
        <f>IF(G6="","",2.5*AVERAGE(H6:L6))</f>
        <v/>
      </c>
      <c r="S6" s="18">
        <f>IF(G6="","",2.5*AVERAGE(M6:Q6))</f>
        <v/>
      </c>
      <c r="T6" s="18">
        <f>IF(G6="","",MIN(1,0.7+0.06*G6))</f>
        <v/>
      </c>
      <c r="U6" s="18">
        <f>IF(G6="","",E6*T6)</f>
        <v/>
      </c>
      <c r="V6" s="18">
        <f>IF(R6="","",V5+U6*(R6-V5))</f>
        <v/>
      </c>
      <c r="W6" s="18">
        <f>IF(S6="","",MAX(0.5,W5*F6+U6*(S6-W5*F6)))</f>
        <v/>
      </c>
      <c r="X6" s="19">
        <f>IF(V6="","",SQRT(V6^2+W6^2))</f>
        <v/>
      </c>
      <c r="Y6" s="12">
        <f>IF(X6="","",IF(X6&gt;=7.07,"YES",""))</f>
        <v/>
      </c>
      <c r="Z6" s="19">
        <f>IF(X6="","",(X6/14.14)*LN(1+AC6))</f>
        <v/>
      </c>
      <c r="AA6" s="12">
        <f>IF(V6="","",IF(AND(V6&lt;5,W6&lt;5),"Question Marks",IF(AND(V6&gt;=5,W6&lt;5),"Lit Fuses",IF(AND(V6&lt;5,W6&gt;=5),"Sleeping Cats","Owls"))))</f>
        <v/>
      </c>
      <c r="AB6" s="17" t="n">
        <v>1</v>
      </c>
      <c r="AC6" s="12">
        <f>IF(AB6="","",AC5+AB6)</f>
        <v/>
      </c>
      <c r="AD6" s="17" t="inlineStr">
        <is>
          <t>Second reporter; y rising.</t>
        </is>
      </c>
    </row>
    <row r="7">
      <c r="A7" s="13" t="n">
        <v>4</v>
      </c>
      <c r="B7" s="17" t="n">
        <v>42</v>
      </c>
      <c r="C7" s="13">
        <f>IF(B7="","",B7-B6)</f>
        <v/>
      </c>
      <c r="D7" s="13">
        <f>IF(C7="","",IF(C7&lt;=Config!B8,"early",IF(C7&lt;=Config!B9,"normal",IF(C7&lt;=Config!B10,"missed1","missed2"))))</f>
        <v/>
      </c>
      <c r="E7" s="20">
        <f>IF(D7="","",IF(D7="early",0.281,IF(D7="normal",0.475,IF(D7="missed1",0.7,0.8))))</f>
        <v/>
      </c>
      <c r="F7" s="20">
        <f>IF(D7="","",IF(D7="early",0.957,IF(D7="normal",0.917,IF(D7="missed1",0.84,0.77))))</f>
        <v/>
      </c>
      <c r="G7" s="17" t="n">
        <v>3</v>
      </c>
      <c r="H7" s="17" t="n">
        <v>2</v>
      </c>
      <c r="I7" s="17" t="n">
        <v>2</v>
      </c>
      <c r="J7" s="17" t="n">
        <v>2</v>
      </c>
      <c r="K7" s="17" t="n"/>
      <c r="L7" s="17" t="n"/>
      <c r="M7" s="17" t="n">
        <v>2</v>
      </c>
      <c r="N7" s="17" t="n">
        <v>2</v>
      </c>
      <c r="O7" s="17" t="n">
        <v>2</v>
      </c>
      <c r="P7" s="17" t="n"/>
      <c r="Q7" s="17" t="n"/>
      <c r="R7" s="20">
        <f>IF(G7="","",2.5*AVERAGE(H7:L7))</f>
        <v/>
      </c>
      <c r="S7" s="20">
        <f>IF(G7="","",2.5*AVERAGE(M7:Q7))</f>
        <v/>
      </c>
      <c r="T7" s="20">
        <f>IF(G7="","",MIN(1,0.7+0.06*G7))</f>
        <v/>
      </c>
      <c r="U7" s="20">
        <f>IF(G7="","",E7*T7)</f>
        <v/>
      </c>
      <c r="V7" s="20">
        <f>IF(R7="","",V6+U7*(R7-V6))</f>
        <v/>
      </c>
      <c r="W7" s="20">
        <f>IF(S7="","",MAX(0.5,W6*F7+U7*(S7-W6*F7)))</f>
        <v/>
      </c>
      <c r="X7" s="21">
        <f>IF(V7="","",SQRT(V7^2+W7^2))</f>
        <v/>
      </c>
      <c r="Y7" s="13">
        <f>IF(X7="","",IF(X7&gt;=7.07,"YES",""))</f>
        <v/>
      </c>
      <c r="Z7" s="21">
        <f>IF(X7="","",(X7/14.14)*LN(1+AC7))</f>
        <v/>
      </c>
      <c r="AA7" s="13">
        <f>IF(V7="","",IF(AND(V7&lt;5,W7&lt;5),"Question Marks",IF(AND(V7&gt;=5,W7&lt;5),"Lit Fuses",IF(AND(V7&lt;5,W7&gt;=5),"Sleeping Cats","Owls"))))</f>
        <v/>
      </c>
      <c r="AB7" s="17" t="n">
        <v>2</v>
      </c>
      <c r="AC7" s="13">
        <f>IF(AB7="","",AC6+AB7)</f>
        <v/>
      </c>
      <c r="AD7" s="17" t="inlineStr">
        <is>
          <t>Third report; approaching boundary.</t>
        </is>
      </c>
    </row>
    <row r="8">
      <c r="A8" s="12" t="n">
        <v>5</v>
      </c>
      <c r="B8" s="17" t="n">
        <v>49</v>
      </c>
      <c r="C8" s="12">
        <f>IF(B8="","",B8-B7)</f>
        <v/>
      </c>
      <c r="D8" s="12">
        <f>IF(C8="","",IF(C8&lt;=Config!B8,"early",IF(C8&lt;=Config!B9,"normal",IF(C8&lt;=Config!B10,"missed1","missed2"))))</f>
        <v/>
      </c>
      <c r="E8" s="18">
        <f>IF(D8="","",IF(D8="early",0.281,IF(D8="normal",0.475,IF(D8="missed1",0.7,0.8))))</f>
        <v/>
      </c>
      <c r="F8" s="18">
        <f>IF(D8="","",IF(D8="early",0.957,IF(D8="normal",0.917,IF(D8="missed1",0.84,0.77))))</f>
        <v/>
      </c>
      <c r="G8" s="17" t="n">
        <v>2</v>
      </c>
      <c r="H8" s="17" t="n">
        <v>3</v>
      </c>
      <c r="I8" s="17" t="n">
        <v>3</v>
      </c>
      <c r="J8" s="17" t="n"/>
      <c r="K8" s="17" t="n"/>
      <c r="L8" s="17" t="n"/>
      <c r="M8" s="17" t="n">
        <v>1</v>
      </c>
      <c r="N8" s="17" t="n">
        <v>1</v>
      </c>
      <c r="O8" s="17" t="n"/>
      <c r="P8" s="17" t="n"/>
      <c r="Q8" s="17" t="n"/>
      <c r="R8" s="18">
        <f>IF(G8="","",2.5*AVERAGE(H8:L8))</f>
        <v/>
      </c>
      <c r="S8" s="18">
        <f>IF(G8="","",2.5*AVERAGE(M8:Q8))</f>
        <v/>
      </c>
      <c r="T8" s="18">
        <f>IF(G8="","",MIN(1,0.7+0.06*G8))</f>
        <v/>
      </c>
      <c r="U8" s="18">
        <f>IF(G8="","",E8*T8)</f>
        <v/>
      </c>
      <c r="V8" s="18">
        <f>IF(R8="","",V7+U8*(R8-V7))</f>
        <v/>
      </c>
      <c r="W8" s="18">
        <f>IF(S8="","",MAX(0.5,W7*F8+U8*(S8-W7*F8)))</f>
        <v/>
      </c>
      <c r="X8" s="19">
        <f>IF(V8="","",SQRT(V8^2+W8^2))</f>
        <v/>
      </c>
      <c r="Y8" s="12">
        <f>IF(X8="","",IF(X8&gt;=7.07,"YES",""))</f>
        <v/>
      </c>
      <c r="Z8" s="19">
        <f>IF(X8="","",(X8/14.14)*LN(1+AC8))</f>
        <v/>
      </c>
      <c r="AA8" s="12">
        <f>IF(V8="","",IF(AND(V8&lt;5,W8&lt;5),"Question Marks",IF(AND(V8&gt;=5,W8&lt;5),"Lit Fuses",IF(AND(V8&lt;5,W8&gt;=5),"Sleeping Cats","Owls"))))</f>
        <v/>
      </c>
      <c r="AB8" s="17" t="n">
        <v>2</v>
      </c>
      <c r="AC8" s="12">
        <f>IF(AB8="","",AC7+AB8)</f>
        <v/>
      </c>
      <c r="AD8" s="17" t="inlineStr">
        <is>
          <t>Two reporters, NRS(3,1); crosses x=5.</t>
        </is>
      </c>
    </row>
    <row r="9">
      <c r="A9" s="13" t="n">
        <v>6</v>
      </c>
      <c r="B9" s="17" t="n">
        <v>63</v>
      </c>
      <c r="C9" s="13">
        <f>IF(B9="","",B9-B8)</f>
        <v/>
      </c>
      <c r="D9" s="13">
        <f>IF(C9="","",IF(C9&lt;=Config!B8,"early",IF(C9&lt;=Config!B9,"normal",IF(C9&lt;=Config!B10,"missed1","missed2"))))</f>
        <v/>
      </c>
      <c r="E9" s="20">
        <f>IF(D9="","",IF(D9="early",0.281,IF(D9="normal",0.475,IF(D9="missed1",0.7,0.8))))</f>
        <v/>
      </c>
      <c r="F9" s="20">
        <f>IF(D9="","",IF(D9="early",0.957,IF(D9="normal",0.917,IF(D9="missed1",0.84,0.77))))</f>
        <v/>
      </c>
      <c r="G9" s="17" t="n">
        <v>3</v>
      </c>
      <c r="H9" s="17" t="n">
        <v>4</v>
      </c>
      <c r="I9" s="17" t="n">
        <v>4</v>
      </c>
      <c r="J9" s="17" t="n">
        <v>4</v>
      </c>
      <c r="K9" s="17" t="n"/>
      <c r="L9" s="17" t="n"/>
      <c r="M9" s="17" t="n">
        <v>1</v>
      </c>
      <c r="N9" s="17" t="n">
        <v>1</v>
      </c>
      <c r="O9" s="17" t="n">
        <v>1</v>
      </c>
      <c r="P9" s="17" t="n"/>
      <c r="Q9" s="17" t="n"/>
      <c r="R9" s="20">
        <f>IF(G9="","",2.5*AVERAGE(H9:L9))</f>
        <v/>
      </c>
      <c r="S9" s="20">
        <f>IF(G9="","",2.5*AVERAGE(M9:Q9))</f>
        <v/>
      </c>
      <c r="T9" s="20">
        <f>IF(G9="","",MIN(1,0.7+0.06*G9))</f>
        <v/>
      </c>
      <c r="U9" s="20">
        <f>IF(G9="","",E9*T9)</f>
        <v/>
      </c>
      <c r="V9" s="20">
        <f>IF(R9="","",V8+U9*(R9-V8))</f>
        <v/>
      </c>
      <c r="W9" s="20">
        <f>IF(S9="","",MAX(0.5,W8*F9+U9*(S9-W8*F9)))</f>
        <v/>
      </c>
      <c r="X9" s="21">
        <f>IF(V9="","",SQRT(V9^2+W9^2))</f>
        <v/>
      </c>
      <c r="Y9" s="13">
        <f>IF(X9="","",IF(X9&gt;=7.07,"YES",""))</f>
        <v/>
      </c>
      <c r="Z9" s="21">
        <f>IF(X9="","",(X9/14.14)*LN(1+AC9))</f>
        <v/>
      </c>
      <c r="AA9" s="13">
        <f>IF(V9="","",IF(AND(V9&lt;5,W9&lt;5),"Question Marks",IF(AND(V9&gt;=5,W9&lt;5),"Lit Fuses",IF(AND(V9&lt;5,W9&gt;=5),"Sleeping Cats","Owls"))))</f>
        <v/>
      </c>
      <c r="AB9" s="17" t="n">
        <v>3</v>
      </c>
      <c r="AC9" s="13">
        <f>IF(AB9="","",AC8+AB9)</f>
        <v/>
      </c>
      <c r="AD9" s="17" t="inlineStr">
        <is>
          <t>Peak intensity; SMS triggered.</t>
        </is>
      </c>
    </row>
    <row r="10">
      <c r="A10" s="12" t="n">
        <v>7</v>
      </c>
      <c r="B10" s="17" t="n">
        <v>70</v>
      </c>
      <c r="C10" s="12">
        <f>IF(B10="","",B10-B9)</f>
        <v/>
      </c>
      <c r="D10" s="12">
        <f>IF(C10="","",IF(C10&lt;=Config!B8,"early",IF(C10&lt;=Config!B9,"normal",IF(C10&lt;=Config!B10,"missed1","missed2"))))</f>
        <v/>
      </c>
      <c r="E10" s="18">
        <f>IF(D10="","",IF(D10="early",0.281,IF(D10="normal",0.475,IF(D10="missed1",0.7,0.8))))</f>
        <v/>
      </c>
      <c r="F10" s="18">
        <f>IF(D10="","",IF(D10="early",0.957,IF(D10="normal",0.917,IF(D10="missed1",0.84,0.77))))</f>
        <v/>
      </c>
      <c r="G10" s="17" t="n">
        <v>3</v>
      </c>
      <c r="H10" s="17" t="n">
        <v>3</v>
      </c>
      <c r="I10" s="17" t="n">
        <v>3</v>
      </c>
      <c r="J10" s="17" t="n">
        <v>3</v>
      </c>
      <c r="K10" s="17" t="n"/>
      <c r="L10" s="17" t="n"/>
      <c r="M10" s="17" t="n">
        <v>2</v>
      </c>
      <c r="N10" s="17" t="n">
        <v>2</v>
      </c>
      <c r="O10" s="17" t="n">
        <v>2</v>
      </c>
      <c r="P10" s="17" t="n"/>
      <c r="Q10" s="17" t="n"/>
      <c r="R10" s="18">
        <f>IF(G10="","",2.5*AVERAGE(H10:L10))</f>
        <v/>
      </c>
      <c r="S10" s="18">
        <f>IF(G10="","",2.5*AVERAGE(M10:Q10))</f>
        <v/>
      </c>
      <c r="T10" s="18">
        <f>IF(G10="","",MIN(1,0.7+0.06*G10))</f>
        <v/>
      </c>
      <c r="U10" s="18">
        <f>IF(G10="","",E10*T10)</f>
        <v/>
      </c>
      <c r="V10" s="18">
        <f>IF(R10="","",V9+U10*(R10-V9))</f>
        <v/>
      </c>
      <c r="W10" s="18">
        <f>IF(S10="","",MAX(0.5,W9*F10+U10*(S10-W9*F10)))</f>
        <v/>
      </c>
      <c r="X10" s="19">
        <f>IF(V10="","",SQRT(V10^2+W10^2))</f>
        <v/>
      </c>
      <c r="Y10" s="12">
        <f>IF(X10="","",IF(X10&gt;=7.07,"YES",""))</f>
        <v/>
      </c>
      <c r="Z10" s="19">
        <f>IF(X10="","",(X10/14.14)*LN(1+AC10))</f>
        <v/>
      </c>
      <c r="AA10" s="12">
        <f>IF(V10="","",IF(AND(V10&lt;5,W10&lt;5),"Question Marks",IF(AND(V10&gt;=5,W10&lt;5),"Lit Fuses",IF(AND(V10&lt;5,W10&gt;=5),"Sleeping Cats","Owls"))))</f>
        <v/>
      </c>
      <c r="AB10" s="17" t="n">
        <v>3</v>
      </c>
      <c r="AC10" s="12">
        <f>IF(AB10="","",AC9+AB10)</f>
        <v/>
      </c>
      <c r="AD10" s="17" t="inlineStr">
        <is>
          <t>Intensity oscillating; y beginning to rise.</t>
        </is>
      </c>
    </row>
    <row r="11">
      <c r="A11" s="13" t="n">
        <v>8</v>
      </c>
      <c r="B11" s="17" t="n">
        <v>77</v>
      </c>
      <c r="C11" s="13">
        <f>IF(B11="","",B11-B10)</f>
        <v/>
      </c>
      <c r="D11" s="13">
        <f>IF(C11="","",IF(C11&lt;=Config!B8,"early",IF(C11&lt;=Config!B9,"normal",IF(C11&lt;=Config!B10,"missed1","missed2"))))</f>
        <v/>
      </c>
      <c r="E11" s="20">
        <f>IF(D11="","",IF(D11="early",0.281,IF(D11="normal",0.475,IF(D11="missed1",0.7,0.8))))</f>
        <v/>
      </c>
      <c r="F11" s="20">
        <f>IF(D11="","",IF(D11="early",0.957,IF(D11="normal",0.917,IF(D11="missed1",0.84,0.77))))</f>
        <v/>
      </c>
      <c r="G11" s="17" t="n">
        <v>3</v>
      </c>
      <c r="H11" s="17" t="n">
        <v>4</v>
      </c>
      <c r="I11" s="17" t="n">
        <v>4</v>
      </c>
      <c r="J11" s="17" t="n">
        <v>4</v>
      </c>
      <c r="K11" s="17" t="n"/>
      <c r="L11" s="17" t="n"/>
      <c r="M11" s="17" t="n">
        <v>1</v>
      </c>
      <c r="N11" s="17" t="n">
        <v>1</v>
      </c>
      <c r="O11" s="17" t="n">
        <v>1</v>
      </c>
      <c r="P11" s="17" t="n"/>
      <c r="Q11" s="17" t="n"/>
      <c r="R11" s="20">
        <f>IF(G11="","",2.5*AVERAGE(H11:L11))</f>
        <v/>
      </c>
      <c r="S11" s="20">
        <f>IF(G11="","",2.5*AVERAGE(M11:Q11))</f>
        <v/>
      </c>
      <c r="T11" s="20">
        <f>IF(G11="","",MIN(1,0.7+0.06*G11))</f>
        <v/>
      </c>
      <c r="U11" s="20">
        <f>IF(G11="","",E11*T11)</f>
        <v/>
      </c>
      <c r="V11" s="20">
        <f>IF(R11="","",V10+U11*(R11-V10))</f>
        <v/>
      </c>
      <c r="W11" s="20">
        <f>IF(S11="","",MAX(0.5,W10*F11+U11*(S11-W10*F11)))</f>
        <v/>
      </c>
      <c r="X11" s="21">
        <f>IF(V11="","",SQRT(V11^2+W11^2))</f>
        <v/>
      </c>
      <c r="Y11" s="13">
        <f>IF(X11="","",IF(X11&gt;=7.07,"YES",""))</f>
        <v/>
      </c>
      <c r="Z11" s="21">
        <f>IF(X11="","",(X11/14.14)*LN(1+AC11))</f>
        <v/>
      </c>
      <c r="AA11" s="13">
        <f>IF(V11="","",IF(AND(V11&lt;5,W11&lt;5),"Question Marks",IF(AND(V11&gt;=5,W11&lt;5),"Lit Fuses",IF(AND(V11&lt;5,W11&gt;=5),"Sleeping Cats","Owls"))))</f>
        <v/>
      </c>
      <c r="AB11" s="17" t="n">
        <v>4</v>
      </c>
      <c r="AC11" s="13">
        <f>IF(AB11="","",AC10+AB11)</f>
        <v/>
      </c>
      <c r="AD11" s="17" t="inlineStr">
        <is>
          <t>High intensity; growth suppressed.</t>
        </is>
      </c>
    </row>
    <row r="12">
      <c r="A12" s="12" t="n">
        <v>9</v>
      </c>
      <c r="B12" s="17" t="n">
        <v>91</v>
      </c>
      <c r="C12" s="12">
        <f>IF(B12="","",B12-B11)</f>
        <v/>
      </c>
      <c r="D12" s="12">
        <f>IF(C12="","",IF(C12&lt;=Config!B8,"early",IF(C12&lt;=Config!B9,"normal",IF(C12&lt;=Config!B10,"missed1","missed2"))))</f>
        <v/>
      </c>
      <c r="E12" s="18">
        <f>IF(D12="","",IF(D12="early",0.281,IF(D12="normal",0.475,IF(D12="missed1",0.7,0.8))))</f>
        <v/>
      </c>
      <c r="F12" s="18">
        <f>IF(D12="","",IF(D12="early",0.957,IF(D12="normal",0.917,IF(D12="missed1",0.84,0.77))))</f>
        <v/>
      </c>
      <c r="G12" s="17" t="n">
        <v>3</v>
      </c>
      <c r="H12" s="17" t="n">
        <v>3</v>
      </c>
      <c r="I12" s="17" t="n">
        <v>3</v>
      </c>
      <c r="J12" s="17" t="n">
        <v>3</v>
      </c>
      <c r="K12" s="17" t="n"/>
      <c r="L12" s="17" t="n"/>
      <c r="M12" s="17" t="n">
        <v>2</v>
      </c>
      <c r="N12" s="17" t="n">
        <v>2</v>
      </c>
      <c r="O12" s="17" t="n">
        <v>2</v>
      </c>
      <c r="P12" s="17" t="n"/>
      <c r="Q12" s="17" t="n"/>
      <c r="R12" s="18">
        <f>IF(G12="","",2.5*AVERAGE(H12:L12))</f>
        <v/>
      </c>
      <c r="S12" s="18">
        <f>IF(G12="","",2.5*AVERAGE(M12:Q12))</f>
        <v/>
      </c>
      <c r="T12" s="18">
        <f>IF(G12="","",MIN(1,0.7+0.06*G12))</f>
        <v/>
      </c>
      <c r="U12" s="18">
        <f>IF(G12="","",E12*T12)</f>
        <v/>
      </c>
      <c r="V12" s="18">
        <f>IF(R12="","",V11+U12*(R12-V11))</f>
        <v/>
      </c>
      <c r="W12" s="18">
        <f>IF(S12="","",MAX(0.5,W11*F12+U12*(S12-W11*F12)))</f>
        <v/>
      </c>
      <c r="X12" s="19">
        <f>IF(V12="","",SQRT(V12^2+W12^2))</f>
        <v/>
      </c>
      <c r="Y12" s="12">
        <f>IF(X12="","",IF(X12&gt;=7.07,"YES",""))</f>
        <v/>
      </c>
      <c r="Z12" s="19">
        <f>IF(X12="","",(X12/14.14)*LN(1+AC12))</f>
        <v/>
      </c>
      <c r="AA12" s="12">
        <f>IF(V12="","",IF(AND(V12&lt;5,W12&lt;5),"Question Marks",IF(AND(V12&gt;=5,W12&lt;5),"Lit Fuses",IF(AND(V12&lt;5,W12&gt;=5),"Sleeping Cats","Owls"))))</f>
        <v/>
      </c>
      <c r="AB12" s="17" t="n">
        <v>4</v>
      </c>
      <c r="AC12" s="12">
        <f>IF(AB12="","",AC11+AB12)</f>
        <v/>
      </c>
      <c r="AD12" s="17" t="inlineStr">
        <is>
          <t>Sustained concern; y creeping up.</t>
        </is>
      </c>
    </row>
    <row r="13">
      <c r="A13" s="13" t="n">
        <v>10</v>
      </c>
      <c r="B13" s="17" t="n">
        <v>98</v>
      </c>
      <c r="C13" s="13">
        <f>IF(B13="","",B13-B12)</f>
        <v/>
      </c>
      <c r="D13" s="13">
        <f>IF(C13="","",IF(C13&lt;=Config!B8,"early",IF(C13&lt;=Config!B9,"normal",IF(C13&lt;=Config!B10,"missed1","missed2"))))</f>
        <v/>
      </c>
      <c r="E13" s="20">
        <f>IF(D13="","",IF(D13="early",0.281,IF(D13="normal",0.475,IF(D13="missed1",0.7,0.8))))</f>
        <v/>
      </c>
      <c r="F13" s="20">
        <f>IF(D13="","",IF(D13="early",0.957,IF(D13="normal",0.917,IF(D13="missed1",0.84,0.77))))</f>
        <v/>
      </c>
      <c r="G13" s="17" t="n">
        <v>3</v>
      </c>
      <c r="H13" s="17" t="n">
        <v>4</v>
      </c>
      <c r="I13" s="17" t="n">
        <v>4</v>
      </c>
      <c r="J13" s="17" t="n">
        <v>4</v>
      </c>
      <c r="K13" s="17" t="n"/>
      <c r="L13" s="17" t="n"/>
      <c r="M13" s="17" t="n">
        <v>2</v>
      </c>
      <c r="N13" s="17" t="n">
        <v>2</v>
      </c>
      <c r="O13" s="17" t="n">
        <v>2</v>
      </c>
      <c r="P13" s="17" t="n"/>
      <c r="Q13" s="17" t="n"/>
      <c r="R13" s="20">
        <f>IF(G13="","",2.5*AVERAGE(H13:L13))</f>
        <v/>
      </c>
      <c r="S13" s="20">
        <f>IF(G13="","",2.5*AVERAGE(M13:Q13))</f>
        <v/>
      </c>
      <c r="T13" s="20">
        <f>IF(G13="","",MIN(1,0.7+0.06*G13))</f>
        <v/>
      </c>
      <c r="U13" s="20">
        <f>IF(G13="","",E13*T13)</f>
        <v/>
      </c>
      <c r="V13" s="20">
        <f>IF(R13="","",V12+U13*(R13-V12))</f>
        <v/>
      </c>
      <c r="W13" s="20">
        <f>IF(S13="","",MAX(0.5,W12*F13+U13*(S13-W12*F13)))</f>
        <v/>
      </c>
      <c r="X13" s="21">
        <f>IF(V13="","",SQRT(V13^2+W13^2))</f>
        <v/>
      </c>
      <c r="Y13" s="13">
        <f>IF(X13="","",IF(X13&gt;=7.07,"YES",""))</f>
        <v/>
      </c>
      <c r="Z13" s="21">
        <f>IF(X13="","",(X13/14.14)*LN(1+AC13))</f>
        <v/>
      </c>
      <c r="AA13" s="13">
        <f>IF(V13="","",IF(AND(V13&lt;5,W13&lt;5),"Question Marks",IF(AND(V13&gt;=5,W13&lt;5),"Lit Fuses",IF(AND(V13&lt;5,W13&gt;=5),"Sleeping Cats","Owls"))))</f>
        <v/>
      </c>
      <c r="AB13" s="17" t="n">
        <v>4</v>
      </c>
      <c r="AC13" s="13">
        <f>IF(AB13="","",AC12+AB13)</f>
        <v/>
      </c>
      <c r="AD13" s="17" t="inlineStr">
        <is>
          <t>y approaching midpoint.</t>
        </is>
      </c>
    </row>
    <row r="14" ht="28" customHeight="1">
      <c r="A14" s="12" t="n">
        <v>11</v>
      </c>
      <c r="B14" s="17" t="n">
        <v>105</v>
      </c>
      <c r="C14" s="12">
        <f>IF(B14="","",B14-B13)</f>
        <v/>
      </c>
      <c r="D14" s="12">
        <f>IF(C14="","",IF(C14&lt;=Config!B8,"early",IF(C14&lt;=Config!B9,"normal",IF(C14&lt;=Config!B10,"missed1","missed2"))))</f>
        <v/>
      </c>
      <c r="E14" s="18">
        <f>IF(D14="","",IF(D14="early",0.281,IF(D14="normal",0.475,IF(D14="missed1",0.7,0.8))))</f>
        <v/>
      </c>
      <c r="F14" s="18">
        <f>IF(D14="","",IF(D14="early",0.957,IF(D14="normal",0.917,IF(D14="missed1",0.84,0.77))))</f>
        <v/>
      </c>
      <c r="G14" s="17" t="n">
        <v>4</v>
      </c>
      <c r="H14" s="17" t="n">
        <v>3</v>
      </c>
      <c r="I14" s="17" t="n">
        <v>3</v>
      </c>
      <c r="J14" s="17" t="n">
        <v>3</v>
      </c>
      <c r="K14" s="17" t="n">
        <v>3</v>
      </c>
      <c r="L14" s="17" t="n"/>
      <c r="M14" s="17" t="n">
        <v>3</v>
      </c>
      <c r="N14" s="17" t="n">
        <v>3</v>
      </c>
      <c r="O14" s="17" t="n">
        <v>3</v>
      </c>
      <c r="P14" s="17" t="n">
        <v>3</v>
      </c>
      <c r="Q14" s="17" t="n"/>
      <c r="R14" s="18">
        <f>IF(G14="","",2.5*AVERAGE(H14:L14))</f>
        <v/>
      </c>
      <c r="S14" s="18">
        <f>IF(G14="","",2.5*AVERAGE(M14:Q14))</f>
        <v/>
      </c>
      <c r="T14" s="18">
        <f>IF(G14="","",MIN(1,0.7+0.06*G14))</f>
        <v/>
      </c>
      <c r="U14" s="18">
        <f>IF(G14="","",E14*T14)</f>
        <v/>
      </c>
      <c r="V14" s="18">
        <f>IF(R14="","",V13+U14*(R14-V13))</f>
        <v/>
      </c>
      <c r="W14" s="18">
        <f>IF(S14="","",MAX(0.5,W13*F14+U14*(S14-W13*F14)))</f>
        <v/>
      </c>
      <c r="X14" s="19">
        <f>IF(V14="","",SQRT(V14^2+W14^2))</f>
        <v/>
      </c>
      <c r="Y14" s="12">
        <f>IF(X14="","",IF(X14&gt;=7.07,"YES",""))</f>
        <v/>
      </c>
      <c r="Z14" s="19">
        <f>IF(X14="","",(X14/14.14)*LN(1+AC14))</f>
        <v/>
      </c>
      <c r="AA14" s="12">
        <f>IF(V14="","",IF(AND(V14&lt;5,W14&lt;5),"Question Marks",IF(AND(V14&gt;=5,W14&lt;5),"Lit Fuses",IF(AND(V14&lt;5,W14&gt;=5),"Sleeping Cats","Owls"))))</f>
        <v/>
      </c>
      <c r="AB14" s="17" t="n">
        <v>6</v>
      </c>
      <c r="AC14" s="12">
        <f>IF(AB14="","",AC13+AB14)</f>
        <v/>
      </c>
      <c r="AD14" s="17" t="inlineStr">
        <is>
          <t>y crosses 5; enters Owls. Management engaged.</t>
        </is>
      </c>
    </row>
    <row r="15" ht="28" customHeight="1">
      <c r="A15" s="13" t="n">
        <v>12</v>
      </c>
      <c r="B15" s="17" t="n">
        <v>112</v>
      </c>
      <c r="C15" s="13">
        <f>IF(B15="","",B15-B14)</f>
        <v/>
      </c>
      <c r="D15" s="13">
        <f>IF(C15="","",IF(C15&lt;=Config!B8,"early",IF(C15&lt;=Config!B9,"normal",IF(C15&lt;=Config!B10,"missed1","missed2"))))</f>
        <v/>
      </c>
      <c r="E15" s="20">
        <f>IF(D15="","",IF(D15="early",0.281,IF(D15="normal",0.475,IF(D15="missed1",0.7,0.8))))</f>
        <v/>
      </c>
      <c r="F15" s="20">
        <f>IF(D15="","",IF(D15="early",0.957,IF(D15="normal",0.917,IF(D15="missed1",0.84,0.77))))</f>
        <v/>
      </c>
      <c r="G15" s="17" t="n">
        <v>4</v>
      </c>
      <c r="H15" s="17" t="n">
        <v>4</v>
      </c>
      <c r="I15" s="17" t="n">
        <v>4</v>
      </c>
      <c r="J15" s="17" t="n">
        <v>4</v>
      </c>
      <c r="K15" s="17" t="n">
        <v>4</v>
      </c>
      <c r="L15" s="17" t="n"/>
      <c r="M15" s="17" t="n">
        <v>4</v>
      </c>
      <c r="N15" s="17" t="n">
        <v>4</v>
      </c>
      <c r="O15" s="17" t="n">
        <v>4</v>
      </c>
      <c r="P15" s="17" t="n">
        <v>4</v>
      </c>
      <c r="Q15" s="17" t="n"/>
      <c r="R15" s="20">
        <f>IF(G15="","",2.5*AVERAGE(H15:L15))</f>
        <v/>
      </c>
      <c r="S15" s="20">
        <f>IF(G15="","",2.5*AVERAGE(M15:Q15))</f>
        <v/>
      </c>
      <c r="T15" s="20">
        <f>IF(G15="","",MIN(1,0.7+0.06*G15))</f>
        <v/>
      </c>
      <c r="U15" s="20">
        <f>IF(G15="","",E15*T15)</f>
        <v/>
      </c>
      <c r="V15" s="20">
        <f>IF(R15="","",V14+U15*(R15-V14))</f>
        <v/>
      </c>
      <c r="W15" s="20">
        <f>IF(S15="","",MAX(0.5,W14*F15+U15*(S15-W14*F15)))</f>
        <v/>
      </c>
      <c r="X15" s="21">
        <f>IF(V15="","",SQRT(V15^2+W15^2))</f>
        <v/>
      </c>
      <c r="Y15" s="13">
        <f>IF(X15="","",IF(X15&gt;=7.07,"YES",""))</f>
        <v/>
      </c>
      <c r="Z15" s="21">
        <f>IF(X15="","",(X15/14.14)*LN(1+AC15))</f>
        <v/>
      </c>
      <c r="AA15" s="13">
        <f>IF(V15="","",IF(AND(V15&lt;5,W15&lt;5),"Question Marks",IF(AND(V15&gt;=5,W15&lt;5),"Lit Fuses",IF(AND(V15&lt;5,W15&gt;=5),"Sleeping Cats","Owls"))))</f>
        <v/>
      </c>
      <c r="AB15" s="17" t="n">
        <v>7</v>
      </c>
      <c r="AC15" s="13">
        <f>IF(AB15="","",AC14+AB15)</f>
        <v/>
      </c>
      <c r="AD15" s="17" t="inlineStr">
        <is>
          <t>Peak session. d=12.97. Emergency response.</t>
        </is>
      </c>
    </row>
    <row r="16">
      <c r="A16" s="12" t="n">
        <v>13</v>
      </c>
      <c r="B16" s="17" t="n">
        <v>119</v>
      </c>
      <c r="C16" s="12">
        <f>IF(B16="","",B16-B15)</f>
        <v/>
      </c>
      <c r="D16" s="12">
        <f>IF(C16="","",IF(C16&lt;=Config!B8,"early",IF(C16&lt;=Config!B9,"normal",IF(C16&lt;=Config!B10,"missed1","missed2"))))</f>
        <v/>
      </c>
      <c r="E16" s="18">
        <f>IF(D16="","",IF(D16="early",0.281,IF(D16="normal",0.475,IF(D16="missed1",0.7,0.8))))</f>
        <v/>
      </c>
      <c r="F16" s="18">
        <f>IF(D16="","",IF(D16="early",0.957,IF(D16="normal",0.917,IF(D16="missed1",0.84,0.77))))</f>
        <v/>
      </c>
      <c r="G16" s="17" t="n">
        <v>5</v>
      </c>
      <c r="H16" s="17" t="n">
        <v>4</v>
      </c>
      <c r="I16" s="17" t="n">
        <v>4</v>
      </c>
      <c r="J16" s="17" t="n">
        <v>4</v>
      </c>
      <c r="K16" s="17" t="n">
        <v>4</v>
      </c>
      <c r="L16" s="17" t="n">
        <v>4</v>
      </c>
      <c r="M16" s="17" t="n">
        <v>4</v>
      </c>
      <c r="N16" s="17" t="n">
        <v>4</v>
      </c>
      <c r="O16" s="17" t="n">
        <v>4</v>
      </c>
      <c r="P16" s="17" t="n">
        <v>4</v>
      </c>
      <c r="Q16" s="17" t="n">
        <v>4</v>
      </c>
      <c r="R16" s="18">
        <f>IF(G16="","",2.5*AVERAGE(H16:L16))</f>
        <v/>
      </c>
      <c r="S16" s="18">
        <f>IF(G16="","",2.5*AVERAGE(M16:Q16))</f>
        <v/>
      </c>
      <c r="T16" s="18">
        <f>IF(G16="","",MIN(1,0.7+0.06*G16))</f>
        <v/>
      </c>
      <c r="U16" s="18">
        <f>IF(G16="","",E16*T16)</f>
        <v/>
      </c>
      <c r="V16" s="18">
        <f>IF(R16="","",V15+U16*(R16-V15))</f>
        <v/>
      </c>
      <c r="W16" s="18">
        <f>IF(S16="","",MAX(0.5,W15*F16+U16*(S16-W15*F16)))</f>
        <v/>
      </c>
      <c r="X16" s="19">
        <f>IF(V16="","",SQRT(V16^2+W16^2))</f>
        <v/>
      </c>
      <c r="Y16" s="12">
        <f>IF(X16="","",IF(X16&gt;=7.07,"YES",""))</f>
        <v/>
      </c>
      <c r="Z16" s="19">
        <f>IF(X16="","",(X16/14.14)*LN(1+AC16))</f>
        <v/>
      </c>
      <c r="AA16" s="12">
        <f>IF(V16="","",IF(AND(V16&lt;5,W16&lt;5),"Question Marks",IF(AND(V16&gt;=5,W16&lt;5),"Lit Fuses",IF(AND(V16&lt;5,W16&gt;=5),"Sleeping Cats","Owls"))))</f>
        <v/>
      </c>
      <c r="AB16" s="17" t="n">
        <v>8</v>
      </c>
      <c r="AC16" s="12">
        <f>IF(AB16="","",AC15+AB16)</f>
        <v/>
      </c>
      <c r="AD16" s="17" t="inlineStr">
        <is>
          <t>Maximum risk locus point.</t>
        </is>
      </c>
    </row>
    <row r="17">
      <c r="A17" s="13" t="n">
        <v>14</v>
      </c>
      <c r="B17" s="17" t="n">
        <v>133</v>
      </c>
      <c r="C17" s="13">
        <f>IF(B17="","",B17-B16)</f>
        <v/>
      </c>
      <c r="D17" s="13">
        <f>IF(C17="","",IF(C17&lt;=Config!B8,"early",IF(C17&lt;=Config!B9,"normal",IF(C17&lt;=Config!B10,"missed1","missed2"))))</f>
        <v/>
      </c>
      <c r="E17" s="20">
        <f>IF(D17="","",IF(D17="early",0.281,IF(D17="normal",0.475,IF(D17="missed1",0.7,0.8))))</f>
        <v/>
      </c>
      <c r="F17" s="20">
        <f>IF(D17="","",IF(D17="early",0.957,IF(D17="normal",0.917,IF(D17="missed1",0.84,0.77))))</f>
        <v/>
      </c>
      <c r="G17" s="17" t="n">
        <v>5</v>
      </c>
      <c r="H17" s="17" t="n">
        <v>4</v>
      </c>
      <c r="I17" s="17" t="n">
        <v>4</v>
      </c>
      <c r="J17" s="17" t="n">
        <v>4</v>
      </c>
      <c r="K17" s="17" t="n">
        <v>4</v>
      </c>
      <c r="L17" s="17" t="n">
        <v>4</v>
      </c>
      <c r="M17" s="17" t="n">
        <v>3</v>
      </c>
      <c r="N17" s="17" t="n">
        <v>3</v>
      </c>
      <c r="O17" s="17" t="n">
        <v>3</v>
      </c>
      <c r="P17" s="17" t="n">
        <v>3</v>
      </c>
      <c r="Q17" s="17" t="n">
        <v>3</v>
      </c>
      <c r="R17" s="20">
        <f>IF(G17="","",2.5*AVERAGE(H17:L17))</f>
        <v/>
      </c>
      <c r="S17" s="20">
        <f>IF(G17="","",2.5*AVERAGE(M17:Q17))</f>
        <v/>
      </c>
      <c r="T17" s="20">
        <f>IF(G17="","",MIN(1,0.7+0.06*G17))</f>
        <v/>
      </c>
      <c r="U17" s="20">
        <f>IF(G17="","",E17*T17)</f>
        <v/>
      </c>
      <c r="V17" s="20">
        <f>IF(R17="","",V16+U17*(R17-V16))</f>
        <v/>
      </c>
      <c r="W17" s="20">
        <f>IF(S17="","",MAX(0.5,W16*F17+U17*(S17-W16*F17)))</f>
        <v/>
      </c>
      <c r="X17" s="21">
        <f>IF(V17="","",SQRT(V17^2+W17^2))</f>
        <v/>
      </c>
      <c r="Y17" s="13">
        <f>IF(X17="","",IF(X17&gt;=7.07,"YES",""))</f>
        <v/>
      </c>
      <c r="Z17" s="21">
        <f>IF(X17="","",(X17/14.14)*LN(1+AC17))</f>
        <v/>
      </c>
      <c r="AA17" s="13">
        <f>IF(V17="","",IF(AND(V17&lt;5,W17&lt;5),"Question Marks",IF(AND(V17&gt;=5,W17&lt;5),"Lit Fuses",IF(AND(V17&lt;5,W17&gt;=5),"Sleeping Cats","Owls"))))</f>
        <v/>
      </c>
      <c r="AB17" s="17" t="n">
        <v>4</v>
      </c>
      <c r="AC17" s="13">
        <f>IF(AB17="","",AC16+AB17)</f>
        <v/>
      </c>
      <c r="AD17" s="17" t="inlineStr">
        <is>
          <t>y declining; mitigation taking effect.</t>
        </is>
      </c>
    </row>
    <row r="18">
      <c r="A18" s="12" t="n">
        <v>15</v>
      </c>
      <c r="B18" s="17" t="n">
        <v>140</v>
      </c>
      <c r="C18" s="12">
        <f>IF(B18="","",B18-B17)</f>
        <v/>
      </c>
      <c r="D18" s="12">
        <f>IF(C18="","",IF(C18&lt;=Config!B8,"early",IF(C18&lt;=Config!B9,"normal",IF(C18&lt;=Config!B10,"missed1","missed2"))))</f>
        <v/>
      </c>
      <c r="E18" s="18">
        <f>IF(D18="","",IF(D18="early",0.281,IF(D18="normal",0.475,IF(D18="missed1",0.7,0.8))))</f>
        <v/>
      </c>
      <c r="F18" s="18">
        <f>IF(D18="","",IF(D18="early",0.957,IF(D18="normal",0.917,IF(D18="missed1",0.84,0.77))))</f>
        <v/>
      </c>
      <c r="G18" s="17" t="n">
        <v>5</v>
      </c>
      <c r="H18" s="17" t="n">
        <v>3</v>
      </c>
      <c r="I18" s="17" t="n">
        <v>3</v>
      </c>
      <c r="J18" s="17" t="n">
        <v>3</v>
      </c>
      <c r="K18" s="17" t="n">
        <v>3</v>
      </c>
      <c r="L18" s="17" t="n">
        <v>3</v>
      </c>
      <c r="M18" s="17" t="n">
        <v>4</v>
      </c>
      <c r="N18" s="17" t="n">
        <v>4</v>
      </c>
      <c r="O18" s="17" t="n">
        <v>4</v>
      </c>
      <c r="P18" s="17" t="n">
        <v>4</v>
      </c>
      <c r="Q18" s="17" t="n">
        <v>4</v>
      </c>
      <c r="R18" s="18">
        <f>IF(G18="","",2.5*AVERAGE(H18:L18))</f>
        <v/>
      </c>
      <c r="S18" s="18">
        <f>IF(G18="","",2.5*AVERAGE(M18:Q18))</f>
        <v/>
      </c>
      <c r="T18" s="18">
        <f>IF(G18="","",MIN(1,0.7+0.06*G18))</f>
        <v/>
      </c>
      <c r="U18" s="18">
        <f>IF(G18="","",E18*T18)</f>
        <v/>
      </c>
      <c r="V18" s="18">
        <f>IF(R18="","",V17+U18*(R18-V17))</f>
        <v/>
      </c>
      <c r="W18" s="18">
        <f>IF(S18="","",MAX(0.5,W17*F18+U18*(S18-W17*F18)))</f>
        <v/>
      </c>
      <c r="X18" s="19">
        <f>IF(V18="","",SQRT(V18^2+W18^2))</f>
        <v/>
      </c>
      <c r="Y18" s="12">
        <f>IF(X18="","",IF(X18&gt;=7.07,"YES",""))</f>
        <v/>
      </c>
      <c r="Z18" s="19">
        <f>IF(X18="","",(X18/14.14)*LN(1+AC18))</f>
        <v/>
      </c>
      <c r="AA18" s="12">
        <f>IF(V18="","",IF(AND(V18&lt;5,W18&lt;5),"Question Marks",IF(AND(V18&gt;=5,W18&lt;5),"Lit Fuses",IF(AND(V18&lt;5,W18&gt;=5),"Sleeping Cats","Owls"))))</f>
        <v/>
      </c>
      <c r="AB18" s="17" t="n">
        <v>2</v>
      </c>
      <c r="AC18" s="12">
        <f>IF(AB18="","",AC17+AB18)</f>
        <v/>
      </c>
      <c r="AD18" s="17" t="inlineStr">
        <is>
          <t>Intensity dropping; growth rebounds.</t>
        </is>
      </c>
    </row>
    <row r="19">
      <c r="A19" s="13" t="n">
        <v>16</v>
      </c>
      <c r="B19" s="17" t="n">
        <v>147</v>
      </c>
      <c r="C19" s="13">
        <f>IF(B19="","",B19-B18)</f>
        <v/>
      </c>
      <c r="D19" s="13">
        <f>IF(C19="","",IF(C19&lt;=Config!B8,"early",IF(C19&lt;=Config!B9,"normal",IF(C19&lt;=Config!B10,"missed1","missed2"))))</f>
        <v/>
      </c>
      <c r="E19" s="20">
        <f>IF(D19="","",IF(D19="early",0.281,IF(D19="normal",0.475,IF(D19="missed1",0.7,0.8))))</f>
        <v/>
      </c>
      <c r="F19" s="20">
        <f>IF(D19="","",IF(D19="early",0.957,IF(D19="normal",0.917,IF(D19="missed1",0.84,0.77))))</f>
        <v/>
      </c>
      <c r="G19" s="17" t="n">
        <v>4</v>
      </c>
      <c r="H19" s="17" t="n">
        <v>3</v>
      </c>
      <c r="I19" s="17" t="n">
        <v>3</v>
      </c>
      <c r="J19" s="17" t="n">
        <v>3</v>
      </c>
      <c r="K19" s="17" t="n">
        <v>3</v>
      </c>
      <c r="L19" s="17" t="n"/>
      <c r="M19" s="17" t="n">
        <v>3</v>
      </c>
      <c r="N19" s="17" t="n">
        <v>3</v>
      </c>
      <c r="O19" s="17" t="n">
        <v>3</v>
      </c>
      <c r="P19" s="17" t="n">
        <v>3</v>
      </c>
      <c r="Q19" s="17" t="n"/>
      <c r="R19" s="20">
        <f>IF(G19="","",2.5*AVERAGE(H19:L19))</f>
        <v/>
      </c>
      <c r="S19" s="20">
        <f>IF(G19="","",2.5*AVERAGE(M19:Q19))</f>
        <v/>
      </c>
      <c r="T19" s="20">
        <f>IF(G19="","",MIN(1,0.7+0.06*G19))</f>
        <v/>
      </c>
      <c r="U19" s="20">
        <f>IF(G19="","",E19*T19)</f>
        <v/>
      </c>
      <c r="V19" s="20">
        <f>IF(R19="","",V18+U19*(R19-V18))</f>
        <v/>
      </c>
      <c r="W19" s="20">
        <f>IF(S19="","",MAX(0.5,W18*F19+U19*(S19-W18*F19)))</f>
        <v/>
      </c>
      <c r="X19" s="21">
        <f>IF(V19="","",SQRT(V19^2+W19^2))</f>
        <v/>
      </c>
      <c r="Y19" s="13">
        <f>IF(X19="","",IF(X19&gt;=7.07,"YES",""))</f>
        <v/>
      </c>
      <c r="Z19" s="21">
        <f>IF(X19="","",(X19/14.14)*LN(1+AC19))</f>
        <v/>
      </c>
      <c r="AA19" s="13">
        <f>IF(V19="","",IF(AND(V19&lt;5,W19&lt;5),"Question Marks",IF(AND(V19&gt;=5,W19&lt;5),"Lit Fuses",IF(AND(V19&lt;5,W19&gt;=5),"Sleeping Cats","Owls"))))</f>
        <v/>
      </c>
      <c r="AB19" s="17" t="n">
        <v>1</v>
      </c>
      <c r="AC19" s="13">
        <f>IF(AB19="","",AC18+AB19)</f>
        <v/>
      </c>
      <c r="AD19" s="17" t="inlineStr">
        <is>
          <t>Both axes declining.</t>
        </is>
      </c>
    </row>
    <row r="20">
      <c r="A20" s="12" t="n">
        <v>17</v>
      </c>
      <c r="B20" s="17" t="n">
        <v>154</v>
      </c>
      <c r="C20" s="12">
        <f>IF(B20="","",B20-B19)</f>
        <v/>
      </c>
      <c r="D20" s="12">
        <f>IF(C20="","",IF(C20&lt;=Config!B8,"early",IF(C20&lt;=Config!B9,"normal",IF(C20&lt;=Config!B10,"missed1","missed2"))))</f>
        <v/>
      </c>
      <c r="E20" s="18">
        <f>IF(D20="","",IF(D20="early",0.281,IF(D20="normal",0.475,IF(D20="missed1",0.7,0.8))))</f>
        <v/>
      </c>
      <c r="F20" s="18">
        <f>IF(D20="","",IF(D20="early",0.957,IF(D20="normal",0.917,IF(D20="missed1",0.84,0.77))))</f>
        <v/>
      </c>
      <c r="G20" s="17" t="n">
        <v>3</v>
      </c>
      <c r="H20" s="17" t="n">
        <v>2</v>
      </c>
      <c r="I20" s="17" t="n">
        <v>2</v>
      </c>
      <c r="J20" s="17" t="n">
        <v>2</v>
      </c>
      <c r="K20" s="17" t="n"/>
      <c r="L20" s="17" t="n"/>
      <c r="M20" s="17" t="n">
        <v>3</v>
      </c>
      <c r="N20" s="17" t="n">
        <v>3</v>
      </c>
      <c r="O20" s="17" t="n">
        <v>3</v>
      </c>
      <c r="P20" s="17" t="n"/>
      <c r="Q20" s="17" t="n"/>
      <c r="R20" s="18">
        <f>IF(G20="","",2.5*AVERAGE(H20:L20))</f>
        <v/>
      </c>
      <c r="S20" s="18">
        <f>IF(G20="","",2.5*AVERAGE(M20:Q20))</f>
        <v/>
      </c>
      <c r="T20" s="18">
        <f>IF(G20="","",MIN(1,0.7+0.06*G20))</f>
        <v/>
      </c>
      <c r="U20" s="18">
        <f>IF(G20="","",E20*T20)</f>
        <v/>
      </c>
      <c r="V20" s="18">
        <f>IF(R20="","",V19+U20*(R20-V19))</f>
        <v/>
      </c>
      <c r="W20" s="18">
        <f>IF(S20="","",MAX(0.5,W19*F20+U20*(S20-W19*F20)))</f>
        <v/>
      </c>
      <c r="X20" s="19">
        <f>IF(V20="","",SQRT(V20^2+W20^2))</f>
        <v/>
      </c>
      <c r="Y20" s="12">
        <f>IF(X20="","",IF(X20&gt;=7.07,"YES",""))</f>
        <v/>
      </c>
      <c r="Z20" s="19">
        <f>IF(X20="","",(X20/14.14)*LN(1+AC20))</f>
        <v/>
      </c>
      <c r="AA20" s="12">
        <f>IF(V20="","",IF(AND(V20&lt;5,W20&lt;5),"Question Marks",IF(AND(V20&gt;=5,W20&lt;5),"Lit Fuses",IF(AND(V20&lt;5,W20&gt;=5),"Sleeping Cats","Owls"))))</f>
        <v/>
      </c>
      <c r="AB20" s="17" t="n">
        <v>1</v>
      </c>
      <c r="AC20" s="12">
        <f>IF(AB20="","",AC19+AB20)</f>
        <v/>
      </c>
      <c r="AD20" s="17" t="inlineStr">
        <is>
          <t>x falling sharply; source identified.</t>
        </is>
      </c>
    </row>
    <row r="21" ht="28" customHeight="1">
      <c r="A21" s="13" t="n">
        <v>18</v>
      </c>
      <c r="B21" s="17" t="n">
        <v>161</v>
      </c>
      <c r="C21" s="13">
        <f>IF(B21="","",B21-B20)</f>
        <v/>
      </c>
      <c r="D21" s="13">
        <f>IF(C21="","",IF(C21&lt;=Config!B8,"early",IF(C21&lt;=Config!B9,"normal",IF(C21&lt;=Config!B10,"missed1","missed2"))))</f>
        <v/>
      </c>
      <c r="E21" s="20">
        <f>IF(D21="","",IF(D21="early",0.281,IF(D21="normal",0.475,IF(D21="missed1",0.7,0.8))))</f>
        <v/>
      </c>
      <c r="F21" s="20">
        <f>IF(D21="","",IF(D21="early",0.957,IF(D21="normal",0.917,IF(D21="missed1",0.84,0.77))))</f>
        <v/>
      </c>
      <c r="G21" s="17" t="n">
        <v>3</v>
      </c>
      <c r="H21" s="17" t="n">
        <v>1</v>
      </c>
      <c r="I21" s="17" t="n">
        <v>1</v>
      </c>
      <c r="J21" s="17" t="n">
        <v>1</v>
      </c>
      <c r="K21" s="17" t="n"/>
      <c r="L21" s="17" t="n"/>
      <c r="M21" s="17" t="n">
        <v>3</v>
      </c>
      <c r="N21" s="17" t="n">
        <v>3</v>
      </c>
      <c r="O21" s="17" t="n">
        <v>3</v>
      </c>
      <c r="P21" s="17" t="n"/>
      <c r="Q21" s="17" t="n"/>
      <c r="R21" s="20">
        <f>IF(G21="","",2.5*AVERAGE(H21:L21))</f>
        <v/>
      </c>
      <c r="S21" s="20">
        <f>IF(G21="","",2.5*AVERAGE(M21:Q21))</f>
        <v/>
      </c>
      <c r="T21" s="20">
        <f>IF(G21="","",MIN(1,0.7+0.06*G21))</f>
        <v/>
      </c>
      <c r="U21" s="20">
        <f>IF(G21="","",E21*T21)</f>
        <v/>
      </c>
      <c r="V21" s="20">
        <f>IF(R21="","",V20+U21*(R21-V20))</f>
        <v/>
      </c>
      <c r="W21" s="20">
        <f>IF(S21="","",MAX(0.5,W20*F21+U21*(S21-W20*F21)))</f>
        <v/>
      </c>
      <c r="X21" s="21">
        <f>IF(V21="","",SQRT(V21^2+W21^2))</f>
        <v/>
      </c>
      <c r="Y21" s="13">
        <f>IF(X21="","",IF(X21&gt;=7.07,"YES",""))</f>
        <v/>
      </c>
      <c r="Z21" s="21">
        <f>IF(X21="","",(X21/14.14)*LN(1+AC21))</f>
        <v/>
      </c>
      <c r="AA21" s="13">
        <f>IF(V21="","",IF(AND(V21&lt;5,W21&lt;5),"Question Marks",IF(AND(V21&gt;=5,W21&lt;5),"Lit Fuses",IF(AND(V21&lt;5,W21&gt;=5),"Sleeping Cats","Owls"))))</f>
        <v/>
      </c>
      <c r="AB21" s="17" t="n">
        <v>1</v>
      </c>
      <c r="AC21" s="13">
        <f>IF(AB21="","",AC20+AB21)</f>
        <v/>
      </c>
      <c r="AD21" s="17" t="inlineStr">
        <is>
          <t>x crosses 5 downward; enters Sleeping Cats.</t>
        </is>
      </c>
    </row>
    <row r="22">
      <c r="A22" s="12" t="n">
        <v>19</v>
      </c>
      <c r="B22" s="17" t="n">
        <v>168</v>
      </c>
      <c r="C22" s="12">
        <f>IF(B22="","",B22-B21)</f>
        <v/>
      </c>
      <c r="D22" s="12">
        <f>IF(C22="","",IF(C22&lt;=Config!B8,"early",IF(C22&lt;=Config!B9,"normal",IF(C22&lt;=Config!B10,"missed1","missed2"))))</f>
        <v/>
      </c>
      <c r="E22" s="18">
        <f>IF(D22="","",IF(D22="early",0.281,IF(D22="normal",0.475,IF(D22="missed1",0.7,0.8))))</f>
        <v/>
      </c>
      <c r="F22" s="18">
        <f>IF(D22="","",IF(D22="early",0.957,IF(D22="normal",0.917,IF(D22="missed1",0.84,0.77))))</f>
        <v/>
      </c>
      <c r="G22" s="17" t="n">
        <v>3</v>
      </c>
      <c r="H22" s="17" t="n">
        <v>1</v>
      </c>
      <c r="I22" s="17" t="n">
        <v>1</v>
      </c>
      <c r="J22" s="17" t="n">
        <v>1</v>
      </c>
      <c r="K22" s="17" t="n"/>
      <c r="L22" s="17" t="n"/>
      <c r="M22" s="17" t="n">
        <v>3</v>
      </c>
      <c r="N22" s="17" t="n">
        <v>3</v>
      </c>
      <c r="O22" s="17" t="n">
        <v>3</v>
      </c>
      <c r="P22" s="17" t="n"/>
      <c r="Q22" s="17" t="n"/>
      <c r="R22" s="18">
        <f>IF(G22="","",2.5*AVERAGE(H22:L22))</f>
        <v/>
      </c>
      <c r="S22" s="18">
        <f>IF(G22="","",2.5*AVERAGE(M22:Q22))</f>
        <v/>
      </c>
      <c r="T22" s="18">
        <f>IF(G22="","",MIN(1,0.7+0.06*G22))</f>
        <v/>
      </c>
      <c r="U22" s="18">
        <f>IF(G22="","",E22*T22)</f>
        <v/>
      </c>
      <c r="V22" s="18">
        <f>IF(R22="","",V21+U22*(R22-V21))</f>
        <v/>
      </c>
      <c r="W22" s="18">
        <f>IF(S22="","",MAX(0.5,W21*F22+U22*(S22-W21*F22)))</f>
        <v/>
      </c>
      <c r="X22" s="19">
        <f>IF(V22="","",SQRT(V22^2+W22^2))</f>
        <v/>
      </c>
      <c r="Y22" s="12">
        <f>IF(X22="","",IF(X22&gt;=7.07,"YES",""))</f>
        <v/>
      </c>
      <c r="Z22" s="19">
        <f>IF(X22="","",(X22/14.14)*LN(1+AC22))</f>
        <v/>
      </c>
      <c r="AA22" s="12">
        <f>IF(V22="","",IF(AND(V22&lt;5,W22&lt;5),"Question Marks",IF(AND(V22&gt;=5,W22&lt;5),"Lit Fuses",IF(AND(V22&lt;5,W22&gt;=5),"Sleeping Cats","Owls"))))</f>
        <v/>
      </c>
      <c r="AB22" s="17" t="n">
        <v>0</v>
      </c>
      <c r="AC22" s="12">
        <f>IF(AB22="","",AC21+AB22)</f>
        <v/>
      </c>
      <c r="AD22" s="17" t="inlineStr">
        <is>
          <t>Intensity falling; growth still elevated.</t>
        </is>
      </c>
    </row>
    <row r="23">
      <c r="A23" s="13" t="n">
        <v>20</v>
      </c>
      <c r="B23" s="17" t="n">
        <v>182</v>
      </c>
      <c r="C23" s="13">
        <f>IF(B23="","",B23-B22)</f>
        <v/>
      </c>
      <c r="D23" s="13">
        <f>IF(C23="","",IF(C23&lt;=Config!B8,"early",IF(C23&lt;=Config!B9,"normal",IF(C23&lt;=Config!B10,"missed1","missed2"))))</f>
        <v/>
      </c>
      <c r="E23" s="20">
        <f>IF(D23="","",IF(D23="early",0.281,IF(D23="normal",0.475,IF(D23="missed1",0.7,0.8))))</f>
        <v/>
      </c>
      <c r="F23" s="20">
        <f>IF(D23="","",IF(D23="early",0.957,IF(D23="normal",0.917,IF(D23="missed1",0.84,0.77))))</f>
        <v/>
      </c>
      <c r="G23" s="17" t="n">
        <v>3</v>
      </c>
      <c r="H23" s="17" t="n">
        <v>2</v>
      </c>
      <c r="I23" s="17" t="n">
        <v>2</v>
      </c>
      <c r="J23" s="17" t="n">
        <v>2</v>
      </c>
      <c r="K23" s="17" t="n"/>
      <c r="L23" s="17" t="n"/>
      <c r="M23" s="17" t="n">
        <v>4</v>
      </c>
      <c r="N23" s="17" t="n">
        <v>4</v>
      </c>
      <c r="O23" s="17" t="n">
        <v>4</v>
      </c>
      <c r="P23" s="17" t="n"/>
      <c r="Q23" s="17" t="n"/>
      <c r="R23" s="20">
        <f>IF(G23="","",2.5*AVERAGE(H23:L23))</f>
        <v/>
      </c>
      <c r="S23" s="20">
        <f>IF(G23="","",2.5*AVERAGE(M23:Q23))</f>
        <v/>
      </c>
      <c r="T23" s="20">
        <f>IF(G23="","",MIN(1,0.7+0.06*G23))</f>
        <v/>
      </c>
      <c r="U23" s="20">
        <f>IF(G23="","",E23*T23)</f>
        <v/>
      </c>
      <c r="V23" s="20">
        <f>IF(R23="","",V22+U23*(R23-V22))</f>
        <v/>
      </c>
      <c r="W23" s="20">
        <f>IF(S23="","",MAX(0.5,W22*F23+U23*(S23-W22*F23)))</f>
        <v/>
      </c>
      <c r="X23" s="21">
        <f>IF(V23="","",SQRT(V23^2+W23^2))</f>
        <v/>
      </c>
      <c r="Y23" s="13">
        <f>IF(X23="","",IF(X23&gt;=7.07,"YES",""))</f>
        <v/>
      </c>
      <c r="Z23" s="21">
        <f>IF(X23="","",(X23/14.14)*LN(1+AC23))</f>
        <v/>
      </c>
      <c r="AA23" s="13">
        <f>IF(V23="","",IF(AND(V23&lt;5,W23&lt;5),"Question Marks",IF(AND(V23&gt;=5,W23&lt;5),"Lit Fuses",IF(AND(V23&lt;5,W23&gt;=5),"Sleeping Cats","Owls"))))</f>
        <v/>
      </c>
      <c r="AB23" s="17" t="n">
        <v>1</v>
      </c>
      <c r="AC23" s="13">
        <f>IF(AB23="","",AC22+AB23)</f>
        <v/>
      </c>
      <c r="AD23" s="17" t="inlineStr">
        <is>
          <t>y near peak in Sleeping Cats.</t>
        </is>
      </c>
    </row>
    <row r="24">
      <c r="A24" s="12" t="n">
        <v>21</v>
      </c>
      <c r="B24" s="17" t="n">
        <v>189</v>
      </c>
      <c r="C24" s="12">
        <f>IF(B24="","",B24-B23)</f>
        <v/>
      </c>
      <c r="D24" s="12">
        <f>IF(C24="","",IF(C24&lt;=Config!B8,"early",IF(C24&lt;=Config!B9,"normal",IF(C24&lt;=Config!B10,"missed1","missed2"))))</f>
        <v/>
      </c>
      <c r="E24" s="18">
        <f>IF(D24="","",IF(D24="early",0.281,IF(D24="normal",0.475,IF(D24="missed1",0.7,0.8))))</f>
        <v/>
      </c>
      <c r="F24" s="18">
        <f>IF(D24="","",IF(D24="early",0.957,IF(D24="normal",0.917,IF(D24="missed1",0.84,0.77))))</f>
        <v/>
      </c>
      <c r="G24" s="17" t="n">
        <v>3</v>
      </c>
      <c r="H24" s="17" t="n">
        <v>1</v>
      </c>
      <c r="I24" s="17" t="n">
        <v>1</v>
      </c>
      <c r="J24" s="17" t="n">
        <v>1</v>
      </c>
      <c r="K24" s="17" t="n"/>
      <c r="L24" s="17" t="n"/>
      <c r="M24" s="17" t="n">
        <v>4</v>
      </c>
      <c r="N24" s="17" t="n">
        <v>4</v>
      </c>
      <c r="O24" s="17" t="n">
        <v>4</v>
      </c>
      <c r="P24" s="17" t="n"/>
      <c r="Q24" s="17" t="n"/>
      <c r="R24" s="18">
        <f>IF(G24="","",2.5*AVERAGE(H24:L24))</f>
        <v/>
      </c>
      <c r="S24" s="18">
        <f>IF(G24="","",2.5*AVERAGE(M24:Q24))</f>
        <v/>
      </c>
      <c r="T24" s="18">
        <f>IF(G24="","",MIN(1,0.7+0.06*G24))</f>
        <v/>
      </c>
      <c r="U24" s="18">
        <f>IF(G24="","",E24*T24)</f>
        <v/>
      </c>
      <c r="V24" s="18">
        <f>IF(R24="","",V23+U24*(R24-V23))</f>
        <v/>
      </c>
      <c r="W24" s="18">
        <f>IF(S24="","",MAX(0.5,W23*F24+U24*(S24-W23*F24)))</f>
        <v/>
      </c>
      <c r="X24" s="19">
        <f>IF(V24="","",SQRT(V24^2+W24^2))</f>
        <v/>
      </c>
      <c r="Y24" s="12">
        <f>IF(X24="","",IF(X24&gt;=7.07,"YES",""))</f>
        <v/>
      </c>
      <c r="Z24" s="19">
        <f>IF(X24="","",(X24/14.14)*LN(1+AC24))</f>
        <v/>
      </c>
      <c r="AA24" s="12">
        <f>IF(V24="","",IF(AND(V24&lt;5,W24&lt;5),"Question Marks",IF(AND(V24&gt;=5,W24&lt;5),"Lit Fuses",IF(AND(V24&lt;5,W24&gt;=5),"Sleeping Cats","Owls"))))</f>
        <v/>
      </c>
      <c r="AB24" s="17" t="n">
        <v>0</v>
      </c>
      <c r="AC24" s="12">
        <f>IF(AB24="","",AC23+AB24)</f>
        <v/>
      </c>
      <c r="AD24" s="17" t="inlineStr">
        <is>
          <t>Controls applied; intensity steady.</t>
        </is>
      </c>
    </row>
    <row r="25">
      <c r="A25" s="13" t="n">
        <v>22</v>
      </c>
      <c r="B25" s="17" t="n">
        <v>196</v>
      </c>
      <c r="C25" s="13">
        <f>IF(B25="","",B25-B24)</f>
        <v/>
      </c>
      <c r="D25" s="13">
        <f>IF(C25="","",IF(C25&lt;=Config!B8,"early",IF(C25&lt;=Config!B9,"normal",IF(C25&lt;=Config!B10,"missed1","missed2"))))</f>
        <v/>
      </c>
      <c r="E25" s="20">
        <f>IF(D25="","",IF(D25="early",0.281,IF(D25="normal",0.475,IF(D25="missed1",0.7,0.8))))</f>
        <v/>
      </c>
      <c r="F25" s="20">
        <f>IF(D25="","",IF(D25="early",0.957,IF(D25="normal",0.917,IF(D25="missed1",0.84,0.77))))</f>
        <v/>
      </c>
      <c r="G25" s="17" t="n">
        <v>3</v>
      </c>
      <c r="H25" s="17" t="n">
        <v>1</v>
      </c>
      <c r="I25" s="17" t="n">
        <v>1</v>
      </c>
      <c r="J25" s="17" t="n">
        <v>1</v>
      </c>
      <c r="K25" s="17" t="n"/>
      <c r="L25" s="17" t="n"/>
      <c r="M25" s="17" t="n">
        <v>3</v>
      </c>
      <c r="N25" s="17" t="n">
        <v>3</v>
      </c>
      <c r="O25" s="17" t="n">
        <v>3</v>
      </c>
      <c r="P25" s="17" t="n"/>
      <c r="Q25" s="17" t="n"/>
      <c r="R25" s="20">
        <f>IF(G25="","",2.5*AVERAGE(H25:L25))</f>
        <v/>
      </c>
      <c r="S25" s="20">
        <f>IF(G25="","",2.5*AVERAGE(M25:Q25))</f>
        <v/>
      </c>
      <c r="T25" s="20">
        <f>IF(G25="","",MIN(1,0.7+0.06*G25))</f>
        <v/>
      </c>
      <c r="U25" s="20">
        <f>IF(G25="","",E25*T25)</f>
        <v/>
      </c>
      <c r="V25" s="20">
        <f>IF(R25="","",V24+U25*(R25-V24))</f>
        <v/>
      </c>
      <c r="W25" s="20">
        <f>IF(S25="","",MAX(0.5,W24*F25+U25*(S25-W24*F25)))</f>
        <v/>
      </c>
      <c r="X25" s="21">
        <f>IF(V25="","",SQRT(V25^2+W25^2))</f>
        <v/>
      </c>
      <c r="Y25" s="13">
        <f>IF(X25="","",IF(X25&gt;=7.07,"YES",""))</f>
        <v/>
      </c>
      <c r="Z25" s="21">
        <f>IF(X25="","",(X25/14.14)*LN(1+AC25))</f>
        <v/>
      </c>
      <c r="AA25" s="13">
        <f>IF(V25="","",IF(AND(V25&lt;5,W25&lt;5),"Question Marks",IF(AND(V25&gt;=5,W25&lt;5),"Lit Fuses",IF(AND(V25&lt;5,W25&gt;=5),"Sleeping Cats","Owls"))))</f>
        <v/>
      </c>
      <c r="AB25" s="17" t="n">
        <v>0</v>
      </c>
      <c r="AC25" s="13">
        <f>IF(AB25="","",AC24+AB25)</f>
        <v/>
      </c>
      <c r="AD25" s="17" t="inlineStr">
        <is>
          <t>Signal fading.</t>
        </is>
      </c>
    </row>
    <row r="26">
      <c r="A26" s="12" t="n">
        <v>23</v>
      </c>
      <c r="B26" s="17" t="n">
        <v>210</v>
      </c>
      <c r="C26" s="12">
        <f>IF(B26="","",B26-B25)</f>
        <v/>
      </c>
      <c r="D26" s="12">
        <f>IF(C26="","",IF(C26&lt;=Config!B8,"early",IF(C26&lt;=Config!B9,"normal",IF(C26&lt;=Config!B10,"missed1","missed2"))))</f>
        <v/>
      </c>
      <c r="E26" s="18">
        <f>IF(D26="","",IF(D26="early",0.281,IF(D26="normal",0.475,IF(D26="missed1",0.7,0.8))))</f>
        <v/>
      </c>
      <c r="F26" s="18">
        <f>IF(D26="","",IF(D26="early",0.957,IF(D26="normal",0.917,IF(D26="missed1",0.84,0.77))))</f>
        <v/>
      </c>
      <c r="G26" s="17" t="n">
        <v>3</v>
      </c>
      <c r="H26" s="17" t="n">
        <v>1</v>
      </c>
      <c r="I26" s="17" t="n">
        <v>1</v>
      </c>
      <c r="J26" s="17" t="n">
        <v>1</v>
      </c>
      <c r="K26" s="17" t="n"/>
      <c r="L26" s="17" t="n"/>
      <c r="M26" s="17" t="n">
        <v>2</v>
      </c>
      <c r="N26" s="17" t="n">
        <v>2</v>
      </c>
      <c r="O26" s="17" t="n">
        <v>2</v>
      </c>
      <c r="P26" s="17" t="n"/>
      <c r="Q26" s="17" t="n"/>
      <c r="R26" s="18">
        <f>IF(G26="","",2.5*AVERAGE(H26:L26))</f>
        <v/>
      </c>
      <c r="S26" s="18">
        <f>IF(G26="","",2.5*AVERAGE(M26:Q26))</f>
        <v/>
      </c>
      <c r="T26" s="18">
        <f>IF(G26="","",MIN(1,0.7+0.06*G26))</f>
        <v/>
      </c>
      <c r="U26" s="18">
        <f>IF(G26="","",E26*T26)</f>
        <v/>
      </c>
      <c r="V26" s="18">
        <f>IF(R26="","",V25+U26*(R26-V25))</f>
        <v/>
      </c>
      <c r="W26" s="18">
        <f>IF(S26="","",MAX(0.5,W25*F26+U26*(S26-W25*F26)))</f>
        <v/>
      </c>
      <c r="X26" s="19">
        <f>IF(V26="","",SQRT(V26^2+W26^2))</f>
        <v/>
      </c>
      <c r="Y26" s="12">
        <f>IF(X26="","",IF(X26&gt;=7.07,"YES",""))</f>
        <v/>
      </c>
      <c r="Z26" s="19">
        <f>IF(X26="","",(X26/14.14)*LN(1+AC26))</f>
        <v/>
      </c>
      <c r="AA26" s="12">
        <f>IF(V26="","",IF(AND(V26&lt;5,W26&lt;5),"Question Marks",IF(AND(V26&gt;=5,W26&lt;5),"Lit Fuses",IF(AND(V26&lt;5,W26&gt;=5),"Sleeping Cats","Owls"))))</f>
        <v/>
      </c>
      <c r="AB26" s="17" t="n">
        <v>0</v>
      </c>
      <c r="AC26" s="12">
        <f>IF(AB26="","",AC25+AB26)</f>
        <v/>
      </c>
      <c r="AD26" s="17" t="inlineStr">
        <is>
          <t>Growth declining; both axes falling.</t>
        </is>
      </c>
    </row>
    <row r="27">
      <c r="A27" s="13" t="n">
        <v>24</v>
      </c>
      <c r="B27" s="17" t="n">
        <v>224</v>
      </c>
      <c r="C27" s="13">
        <f>IF(B27="","",B27-B26)</f>
        <v/>
      </c>
      <c r="D27" s="13">
        <f>IF(C27="","",IF(C27&lt;=Config!B8,"early",IF(C27&lt;=Config!B9,"normal",IF(C27&lt;=Config!B10,"missed1","missed2"))))</f>
        <v/>
      </c>
      <c r="E27" s="20">
        <f>IF(D27="","",IF(D27="early",0.281,IF(D27="normal",0.475,IF(D27="missed1",0.7,0.8))))</f>
        <v/>
      </c>
      <c r="F27" s="20">
        <f>IF(D27="","",IF(D27="early",0.957,IF(D27="normal",0.917,IF(D27="missed1",0.84,0.77))))</f>
        <v/>
      </c>
      <c r="G27" s="17" t="n">
        <v>2</v>
      </c>
      <c r="H27" s="17" t="n">
        <v>1</v>
      </c>
      <c r="I27" s="17" t="n">
        <v>1</v>
      </c>
      <c r="J27" s="17" t="n"/>
      <c r="K27" s="17" t="n"/>
      <c r="L27" s="17" t="n"/>
      <c r="M27" s="17" t="n">
        <v>2</v>
      </c>
      <c r="N27" s="17" t="n">
        <v>2</v>
      </c>
      <c r="O27" s="17" t="n"/>
      <c r="P27" s="17" t="n"/>
      <c r="Q27" s="17" t="n"/>
      <c r="R27" s="20">
        <f>IF(G27="","",2.5*AVERAGE(H27:L27))</f>
        <v/>
      </c>
      <c r="S27" s="20">
        <f>IF(G27="","",2.5*AVERAGE(M27:Q27))</f>
        <v/>
      </c>
      <c r="T27" s="20">
        <f>IF(G27="","",MIN(1,0.7+0.06*G27))</f>
        <v/>
      </c>
      <c r="U27" s="20">
        <f>IF(G27="","",E27*T27)</f>
        <v/>
      </c>
      <c r="V27" s="20">
        <f>IF(R27="","",V26+U27*(R27-V26))</f>
        <v/>
      </c>
      <c r="W27" s="20">
        <f>IF(S27="","",MAX(0.5,W26*F27+U27*(S27-W26*F27)))</f>
        <v/>
      </c>
      <c r="X27" s="21">
        <f>IF(V27="","",SQRT(V27^2+W27^2))</f>
        <v/>
      </c>
      <c r="Y27" s="13">
        <f>IF(X27="","",IF(X27&gt;=7.07,"YES",""))</f>
        <v/>
      </c>
      <c r="Z27" s="21">
        <f>IF(X27="","",(X27/14.14)*LN(1+AC27))</f>
        <v/>
      </c>
      <c r="AA27" s="13">
        <f>IF(V27="","",IF(AND(V27&lt;5,W27&lt;5),"Question Marks",IF(AND(V27&gt;=5,W27&lt;5),"Lit Fuses",IF(AND(V27&lt;5,W27&gt;=5),"Sleeping Cats","Owls"))))</f>
        <v/>
      </c>
      <c r="AB27" s="17" t="n">
        <v>0</v>
      </c>
      <c r="AC27" s="13">
        <f>IF(AB27="","",AC26+AB27)</f>
        <v/>
      </c>
      <c r="AD27" s="17" t="inlineStr">
        <is>
          <t>Continued decline; routine monitoring.</t>
        </is>
      </c>
    </row>
    <row r="28">
      <c r="A28" s="12" t="n">
        <v>25</v>
      </c>
      <c r="B28" s="17" t="n">
        <v>238</v>
      </c>
      <c r="C28" s="12">
        <f>IF(B28="","",B28-B27)</f>
        <v/>
      </c>
      <c r="D28" s="12">
        <f>IF(C28="","",IF(C28&lt;=Config!B8,"early",IF(C28&lt;=Config!B9,"normal",IF(C28&lt;=Config!B10,"missed1","missed2"))))</f>
        <v/>
      </c>
      <c r="E28" s="18">
        <f>IF(D28="","",IF(D28="early",0.281,IF(D28="normal",0.475,IF(D28="missed1",0.7,0.8))))</f>
        <v/>
      </c>
      <c r="F28" s="18">
        <f>IF(D28="","",IF(D28="early",0.957,IF(D28="normal",0.917,IF(D28="missed1",0.84,0.77))))</f>
        <v/>
      </c>
      <c r="G28" s="17" t="n">
        <v>2</v>
      </c>
      <c r="H28" s="17" t="n">
        <v>1</v>
      </c>
      <c r="I28" s="17" t="n">
        <v>1</v>
      </c>
      <c r="J28" s="17" t="n"/>
      <c r="K28" s="17" t="n"/>
      <c r="L28" s="17" t="n"/>
      <c r="M28" s="17" t="n">
        <v>1</v>
      </c>
      <c r="N28" s="17" t="n">
        <v>1</v>
      </c>
      <c r="O28" s="17" t="n"/>
      <c r="P28" s="17" t="n"/>
      <c r="Q28" s="17" t="n"/>
      <c r="R28" s="18">
        <f>IF(G28="","",2.5*AVERAGE(H28:L28))</f>
        <v/>
      </c>
      <c r="S28" s="18">
        <f>IF(G28="","",2.5*AVERAGE(M28:Q28))</f>
        <v/>
      </c>
      <c r="T28" s="18">
        <f>IF(G28="","",MIN(1,0.7+0.06*G28))</f>
        <v/>
      </c>
      <c r="U28" s="18">
        <f>IF(G28="","",E28*T28)</f>
        <v/>
      </c>
      <c r="V28" s="18">
        <f>IF(R28="","",V27+U28*(R28-V27))</f>
        <v/>
      </c>
      <c r="W28" s="18">
        <f>IF(S28="","",MAX(0.5,W27*F28+U28*(S28-W27*F28)))</f>
        <v/>
      </c>
      <c r="X28" s="19">
        <f>IF(V28="","",SQRT(V28^2+W28^2))</f>
        <v/>
      </c>
      <c r="Y28" s="12">
        <f>IF(X28="","",IF(X28&gt;=7.07,"YES",""))</f>
        <v/>
      </c>
      <c r="Z28" s="19">
        <f>IF(X28="","",(X28/14.14)*LN(1+AC28))</f>
        <v/>
      </c>
      <c r="AA28" s="12">
        <f>IF(V28="","",IF(AND(V28&lt;5,W28&lt;5),"Question Marks",IF(AND(V28&gt;=5,W28&lt;5),"Lit Fuses",IF(AND(V28&lt;5,W28&gt;=5),"Sleeping Cats","Owls"))))</f>
        <v/>
      </c>
      <c r="AB28" s="17" t="n">
        <v>0</v>
      </c>
      <c r="AC28" s="12">
        <f>IF(AB28="","",AC27+AB28)</f>
        <v/>
      </c>
      <c r="AD28" s="17" t="inlineStr">
        <is>
          <t>Near dormancy; low on both axes.</t>
        </is>
      </c>
    </row>
    <row r="29">
      <c r="A29" s="13" t="n">
        <v>26</v>
      </c>
      <c r="B29" s="17" t="n">
        <v>252</v>
      </c>
      <c r="C29" s="13">
        <f>IF(B29="","",B29-B28)</f>
        <v/>
      </c>
      <c r="D29" s="13">
        <f>IF(C29="","",IF(C29&lt;=Config!B8,"early",IF(C29&lt;=Config!B9,"normal",IF(C29&lt;=Config!B10,"missed1","missed2"))))</f>
        <v/>
      </c>
      <c r="E29" s="20">
        <f>IF(D29="","",IF(D29="early",0.281,IF(D29="normal",0.475,IF(D29="missed1",0.7,0.8))))</f>
        <v/>
      </c>
      <c r="F29" s="20">
        <f>IF(D29="","",IF(D29="early",0.957,IF(D29="normal",0.917,IF(D29="missed1",0.84,0.77))))</f>
        <v/>
      </c>
      <c r="G29" s="17" t="n">
        <v>2</v>
      </c>
      <c r="H29" s="17" t="n">
        <v>1</v>
      </c>
      <c r="I29" s="17" t="n">
        <v>1</v>
      </c>
      <c r="J29" s="17" t="n"/>
      <c r="K29" s="17" t="n"/>
      <c r="L29" s="17" t="n"/>
      <c r="M29" s="17" t="n">
        <v>1</v>
      </c>
      <c r="N29" s="17" t="n">
        <v>1</v>
      </c>
      <c r="O29" s="17" t="n"/>
      <c r="P29" s="17" t="n"/>
      <c r="Q29" s="17" t="n"/>
      <c r="R29" s="20">
        <f>IF(G29="","",2.5*AVERAGE(H29:L29))</f>
        <v/>
      </c>
      <c r="S29" s="20">
        <f>IF(G29="","",2.5*AVERAGE(M29:Q29))</f>
        <v/>
      </c>
      <c r="T29" s="20">
        <f>IF(G29="","",MIN(1,0.7+0.06*G29))</f>
        <v/>
      </c>
      <c r="U29" s="20">
        <f>IF(G29="","",E29*T29)</f>
        <v/>
      </c>
      <c r="V29" s="20">
        <f>IF(R29="","",V28+U29*(R29-V28))</f>
        <v/>
      </c>
      <c r="W29" s="20">
        <f>IF(S29="","",MAX(0.5,W28*F29+U29*(S29-W28*F29)))</f>
        <v/>
      </c>
      <c r="X29" s="21">
        <f>IF(V29="","",SQRT(V29^2+W29^2))</f>
        <v/>
      </c>
      <c r="Y29" s="13">
        <f>IF(X29="","",IF(X29&gt;=7.07,"YES",""))</f>
        <v/>
      </c>
      <c r="Z29" s="21">
        <f>IF(X29="","",(X29/14.14)*LN(1+AC29))</f>
        <v/>
      </c>
      <c r="AA29" s="13">
        <f>IF(V29="","",IF(AND(V29&lt;5,W29&lt;5),"Question Marks",IF(AND(V29&gt;=5,W29&lt;5),"Lit Fuses",IF(AND(V29&lt;5,W29&gt;=5),"Sleeping Cats","Owls"))))</f>
        <v/>
      </c>
      <c r="AB29" s="17" t="n">
        <v>0</v>
      </c>
      <c r="AC29" s="13">
        <f>IF(AB29="","",AC28+AB29)</f>
        <v/>
      </c>
      <c r="AD29" s="17" t="inlineStr">
        <is>
          <t>Signal stable. Retirement candidate.</t>
        </is>
      </c>
    </row>
    <row r="30">
      <c r="A30" s="12" t="n">
        <v>27</v>
      </c>
      <c r="B30" s="17" t="n"/>
      <c r="C30" s="12">
        <f>IF(B30="","",B30-B29)</f>
        <v/>
      </c>
      <c r="D30" s="12">
        <f>IF(C30="","",IF(C30&lt;=Config!B8,"early",IF(C30&lt;=Config!B9,"normal",IF(C30&lt;=Config!B10,"missed1","missed2"))))</f>
        <v/>
      </c>
      <c r="E30" s="18">
        <f>IF(D30="","",IF(D30="early",0.281,IF(D30="normal",0.475,IF(D30="missed1",0.7,0.8))))</f>
        <v/>
      </c>
      <c r="F30" s="18">
        <f>IF(D30="","",IF(D30="early",0.957,IF(D30="normal",0.917,IF(D30="missed1",0.84,0.77))))</f>
        <v/>
      </c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8">
        <f>IF(G30="","",2.5*AVERAGE(H30:L30))</f>
        <v/>
      </c>
      <c r="S30" s="18">
        <f>IF(G30="","",2.5*AVERAGE(M30:Q30))</f>
        <v/>
      </c>
      <c r="T30" s="18">
        <f>IF(G30="","",MIN(1,0.7+0.06*G30))</f>
        <v/>
      </c>
      <c r="U30" s="18">
        <f>IF(G30="","",E30*T30)</f>
        <v/>
      </c>
      <c r="V30" s="18">
        <f>IF(R30="","",V29+U30*(R30-V29))</f>
        <v/>
      </c>
      <c r="W30" s="18">
        <f>IF(S30="","",MAX(0.5,W29*F30+U30*(S30-W29*F30)))</f>
        <v/>
      </c>
      <c r="X30" s="19">
        <f>IF(V30="","",SQRT(V30^2+W30^2))</f>
        <v/>
      </c>
      <c r="Y30" s="12">
        <f>IF(X30="","",IF(X30&gt;=7.07,"YES",""))</f>
        <v/>
      </c>
      <c r="Z30" s="19">
        <f>IF(X30="","",(X30/14.14)*LN(1+AC30))</f>
        <v/>
      </c>
      <c r="AA30" s="12">
        <f>IF(V30="","",IF(AND(V30&lt;5,W30&lt;5),"Question Marks",IF(AND(V30&gt;=5,W30&lt;5),"Lit Fuses",IF(AND(V30&lt;5,W30&gt;=5),"Sleeping Cats","Owls"))))</f>
        <v/>
      </c>
      <c r="AB30" s="17" t="n"/>
      <c r="AC30" s="12">
        <f>IF(AB30="","",AC29+AB30)</f>
        <v/>
      </c>
      <c r="AD30" s="17" t="n"/>
    </row>
    <row r="31">
      <c r="A31" s="13" t="n">
        <v>28</v>
      </c>
      <c r="B31" s="17" t="n"/>
      <c r="C31" s="13">
        <f>IF(B31="","",B31-B30)</f>
        <v/>
      </c>
      <c r="D31" s="13">
        <f>IF(C31="","",IF(C31&lt;=Config!B8,"early",IF(C31&lt;=Config!B9,"normal",IF(C31&lt;=Config!B10,"missed1","missed2"))))</f>
        <v/>
      </c>
      <c r="E31" s="20">
        <f>IF(D31="","",IF(D31="early",0.281,IF(D31="normal",0.475,IF(D31="missed1",0.7,0.8))))</f>
        <v/>
      </c>
      <c r="F31" s="20">
        <f>IF(D31="","",IF(D31="early",0.957,IF(D31="normal",0.917,IF(D31="missed1",0.84,0.77))))</f>
        <v/>
      </c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20">
        <f>IF(G31="","",2.5*AVERAGE(H31:L31))</f>
        <v/>
      </c>
      <c r="S31" s="20">
        <f>IF(G31="","",2.5*AVERAGE(M31:Q31))</f>
        <v/>
      </c>
      <c r="T31" s="20">
        <f>IF(G31="","",MIN(1,0.7+0.06*G31))</f>
        <v/>
      </c>
      <c r="U31" s="20">
        <f>IF(G31="","",E31*T31)</f>
        <v/>
      </c>
      <c r="V31" s="20">
        <f>IF(R31="","",V30+U31*(R31-V30))</f>
        <v/>
      </c>
      <c r="W31" s="20">
        <f>IF(S31="","",MAX(0.5,W30*F31+U31*(S31-W30*F31)))</f>
        <v/>
      </c>
      <c r="X31" s="21">
        <f>IF(V31="","",SQRT(V31^2+W31^2))</f>
        <v/>
      </c>
      <c r="Y31" s="13">
        <f>IF(X31="","",IF(X31&gt;=7.07,"YES",""))</f>
        <v/>
      </c>
      <c r="Z31" s="21">
        <f>IF(X31="","",(X31/14.14)*LN(1+AC31))</f>
        <v/>
      </c>
      <c r="AA31" s="13">
        <f>IF(V31="","",IF(AND(V31&lt;5,W31&lt;5),"Question Marks",IF(AND(V31&gt;=5,W31&lt;5),"Lit Fuses",IF(AND(V31&lt;5,W31&gt;=5),"Sleeping Cats","Owls"))))</f>
        <v/>
      </c>
      <c r="AB31" s="17" t="n"/>
      <c r="AC31" s="13">
        <f>IF(AB31="","",AC30+AB31)</f>
        <v/>
      </c>
      <c r="AD31" s="17" t="n"/>
    </row>
    <row r="32">
      <c r="A32" s="12" t="n">
        <v>29</v>
      </c>
      <c r="B32" s="17" t="n"/>
      <c r="C32" s="12">
        <f>IF(B32="","",B32-B31)</f>
        <v/>
      </c>
      <c r="D32" s="12">
        <f>IF(C32="","",IF(C32&lt;=Config!B8,"early",IF(C32&lt;=Config!B9,"normal",IF(C32&lt;=Config!B10,"missed1","missed2"))))</f>
        <v/>
      </c>
      <c r="E32" s="18">
        <f>IF(D32="","",IF(D32="early",0.281,IF(D32="normal",0.475,IF(D32="missed1",0.7,0.8))))</f>
        <v/>
      </c>
      <c r="F32" s="18">
        <f>IF(D32="","",IF(D32="early",0.957,IF(D32="normal",0.917,IF(D32="missed1",0.84,0.77))))</f>
        <v/>
      </c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8">
        <f>IF(G32="","",2.5*AVERAGE(H32:L32))</f>
        <v/>
      </c>
      <c r="S32" s="18">
        <f>IF(G32="","",2.5*AVERAGE(M32:Q32))</f>
        <v/>
      </c>
      <c r="T32" s="18">
        <f>IF(G32="","",MIN(1,0.7+0.06*G32))</f>
        <v/>
      </c>
      <c r="U32" s="18">
        <f>IF(G32="","",E32*T32)</f>
        <v/>
      </c>
      <c r="V32" s="18">
        <f>IF(R32="","",V31+U32*(R32-V31))</f>
        <v/>
      </c>
      <c r="W32" s="18">
        <f>IF(S32="","",MAX(0.5,W31*F32+U32*(S32-W31*F32)))</f>
        <v/>
      </c>
      <c r="X32" s="19">
        <f>IF(V32="","",SQRT(V32^2+W32^2))</f>
        <v/>
      </c>
      <c r="Y32" s="12">
        <f>IF(X32="","",IF(X32&gt;=7.07,"YES",""))</f>
        <v/>
      </c>
      <c r="Z32" s="19">
        <f>IF(X32="","",(X32/14.14)*LN(1+AC32))</f>
        <v/>
      </c>
      <c r="AA32" s="12">
        <f>IF(V32="","",IF(AND(V32&lt;5,W32&lt;5),"Question Marks",IF(AND(V32&gt;=5,W32&lt;5),"Lit Fuses",IF(AND(V32&lt;5,W32&gt;=5),"Sleeping Cats","Owls"))))</f>
        <v/>
      </c>
      <c r="AB32" s="17" t="n"/>
      <c r="AC32" s="12">
        <f>IF(AB32="","",AC31+AB32)</f>
        <v/>
      </c>
      <c r="AD32" s="17" t="n"/>
    </row>
    <row r="33">
      <c r="A33" s="13" t="n">
        <v>30</v>
      </c>
      <c r="B33" s="17" t="n"/>
      <c r="C33" s="13">
        <f>IF(B33="","",B33-B32)</f>
        <v/>
      </c>
      <c r="D33" s="13">
        <f>IF(C33="","",IF(C33&lt;=Config!B8,"early",IF(C33&lt;=Config!B9,"normal",IF(C33&lt;=Config!B10,"missed1","missed2"))))</f>
        <v/>
      </c>
      <c r="E33" s="20">
        <f>IF(D33="","",IF(D33="early",0.281,IF(D33="normal",0.475,IF(D33="missed1",0.7,0.8))))</f>
        <v/>
      </c>
      <c r="F33" s="20">
        <f>IF(D33="","",IF(D33="early",0.957,IF(D33="normal",0.917,IF(D33="missed1",0.84,0.77))))</f>
        <v/>
      </c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20">
        <f>IF(G33="","",2.5*AVERAGE(H33:L33))</f>
        <v/>
      </c>
      <c r="S33" s="20">
        <f>IF(G33="","",2.5*AVERAGE(M33:Q33))</f>
        <v/>
      </c>
      <c r="T33" s="20">
        <f>IF(G33="","",MIN(1,0.7+0.06*G33))</f>
        <v/>
      </c>
      <c r="U33" s="20">
        <f>IF(G33="","",E33*T33)</f>
        <v/>
      </c>
      <c r="V33" s="20">
        <f>IF(R33="","",V32+U33*(R33-V32))</f>
        <v/>
      </c>
      <c r="W33" s="20">
        <f>IF(S33="","",MAX(0.5,W32*F33+U33*(S33-W32*F33)))</f>
        <v/>
      </c>
      <c r="X33" s="21">
        <f>IF(V33="","",SQRT(V33^2+W33^2))</f>
        <v/>
      </c>
      <c r="Y33" s="13">
        <f>IF(X33="","",IF(X33&gt;=7.07,"YES",""))</f>
        <v/>
      </c>
      <c r="Z33" s="21">
        <f>IF(X33="","",(X33/14.14)*LN(1+AC33))</f>
        <v/>
      </c>
      <c r="AA33" s="13">
        <f>IF(V33="","",IF(AND(V33&lt;5,W33&lt;5),"Question Marks",IF(AND(V33&gt;=5,W33&lt;5),"Lit Fuses",IF(AND(V33&lt;5,W33&gt;=5),"Sleeping Cats","Owls"))))</f>
        <v/>
      </c>
      <c r="AB33" s="17" t="n"/>
      <c r="AC33" s="13">
        <f>IF(AB33="","",AC32+AB33)</f>
        <v/>
      </c>
      <c r="AD33" s="17" t="n"/>
    </row>
    <row r="35">
      <c r="A35" s="16" t="inlineStr">
        <is>
          <t>Copyright © 2026. Maurice Codourey and Emmanuel A. Gonzalez. All rights reserved. Version 0.1, April 5, 2026.</t>
        </is>
      </c>
    </row>
  </sheetData>
  <mergeCells count="3">
    <mergeCell ref="M2:Q2"/>
    <mergeCell ref="H2:L2"/>
    <mergeCell ref="A35:AD35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tabColor rgb="FFDC2626"/>
    <outlinePr summaryBelow="1" summaryRight="1"/>
    <pageSetUpPr/>
  </sheetPr>
  <dimension ref="A1:H65"/>
  <sheetViews>
    <sheetView topLeftCell="A33" zoomScaleNormal="100" workbookViewId="0">
      <selection activeCell="A1" sqref="A1:D1"/>
    </sheetView>
  </sheetViews>
  <sheetFormatPr baseColWidth="10" defaultColWidth="8.6640625" defaultRowHeight="15"/>
  <cols>
    <col width="10" customWidth="1" min="1" max="3"/>
    <col width="16" customWidth="1" min="4" max="4"/>
    <col width="12" customWidth="1" min="6" max="7"/>
    <col width="36" customWidth="1" min="8" max="8"/>
  </cols>
  <sheetData>
    <row r="1" ht="18" customHeight="1">
      <c r="A1" s="7" t="inlineStr">
        <is>
          <t>Session Severity Index Over Time</t>
        </is>
      </c>
    </row>
    <row r="3">
      <c r="A3" s="11" t="inlineStr">
        <is>
          <t>Session</t>
        </is>
      </c>
      <c r="B3" s="11" t="inlineStr">
        <is>
          <t>Day</t>
        </is>
      </c>
      <c r="C3" s="11" t="inlineStr">
        <is>
          <t>SSI</t>
        </is>
      </c>
      <c r="D3" s="11" t="inlineStr">
        <is>
          <t>Region</t>
        </is>
      </c>
      <c r="E3" s="11" t="n"/>
      <c r="F3" s="11" t="inlineStr">
        <is>
          <t>SSI Band</t>
        </is>
      </c>
      <c r="G3" s="11" t="inlineStr">
        <is>
          <t>Range</t>
        </is>
      </c>
      <c r="H3" s="11" t="inlineStr">
        <is>
          <t>Action</t>
        </is>
      </c>
    </row>
    <row r="4">
      <c r="A4" s="22" t="n">
        <v>1</v>
      </c>
      <c r="B4" s="22">
        <f>'Signal Tracker'!B4</f>
        <v/>
      </c>
      <c r="C4" s="23">
        <f>'Signal Tracker'!Z4</f>
        <v/>
      </c>
      <c r="D4" s="22">
        <f>'Signal Tracker'!AA4</f>
        <v/>
      </c>
      <c r="F4" s="24" t="inlineStr">
        <is>
          <t>Low</t>
        </is>
      </c>
      <c r="G4" s="22" t="inlineStr">
        <is>
          <t>0.0 – 0.5</t>
        </is>
      </c>
      <c r="H4" s="22" t="inlineStr">
        <is>
          <t>Routine monitoring</t>
        </is>
      </c>
    </row>
    <row r="5">
      <c r="A5" s="22" t="n">
        <v>2</v>
      </c>
      <c r="B5" s="22">
        <f>'Signal Tracker'!B5</f>
        <v/>
      </c>
      <c r="C5" s="23">
        <f>'Signal Tracker'!Z5</f>
        <v/>
      </c>
      <c r="D5" s="22">
        <f>'Signal Tracker'!AA5</f>
        <v/>
      </c>
      <c r="F5" s="25" t="inlineStr">
        <is>
          <t>Moderate</t>
        </is>
      </c>
      <c r="G5" s="22" t="inlineStr">
        <is>
          <t>0.5 – 1.5</t>
        </is>
      </c>
      <c r="H5" s="22" t="inlineStr">
        <is>
          <t>Team review recommended</t>
        </is>
      </c>
    </row>
    <row r="6">
      <c r="A6" s="22" t="n">
        <v>3</v>
      </c>
      <c r="B6" s="22">
        <f>'Signal Tracker'!B6</f>
        <v/>
      </c>
      <c r="C6" s="23">
        <f>'Signal Tracker'!Z6</f>
        <v/>
      </c>
      <c r="D6" s="22">
        <f>'Signal Tracker'!AA6</f>
        <v/>
      </c>
      <c r="F6" s="26" t="inlineStr">
        <is>
          <t>Elevated</t>
        </is>
      </c>
      <c r="G6" s="22" t="inlineStr">
        <is>
          <t>1.5 – 2.5</t>
        </is>
      </c>
      <c r="H6" s="22" t="inlineStr">
        <is>
          <t>Management notification</t>
        </is>
      </c>
    </row>
    <row r="7">
      <c r="A7" s="22" t="n">
        <v>4</v>
      </c>
      <c r="B7" s="22">
        <f>'Signal Tracker'!B7</f>
        <v/>
      </c>
      <c r="C7" s="23">
        <f>'Signal Tracker'!Z7</f>
        <v/>
      </c>
      <c r="D7" s="22">
        <f>'Signal Tracker'!AA7</f>
        <v/>
      </c>
      <c r="F7" s="27" t="inlineStr">
        <is>
          <t>Critical</t>
        </is>
      </c>
      <c r="G7" s="22" t="inlineStr">
        <is>
          <t>≥ 2.5</t>
        </is>
      </c>
      <c r="H7" s="22" t="inlineStr">
        <is>
          <t>Escalation imminent / SMS triggered</t>
        </is>
      </c>
    </row>
    <row r="8">
      <c r="A8" s="22" t="n">
        <v>5</v>
      </c>
      <c r="B8" s="22">
        <f>'Signal Tracker'!B8</f>
        <v/>
      </c>
      <c r="C8" s="23">
        <f>'Signal Tracker'!Z8</f>
        <v/>
      </c>
      <c r="D8" s="22">
        <f>'Signal Tracker'!AA8</f>
        <v/>
      </c>
    </row>
    <row r="9">
      <c r="A9" s="22" t="n">
        <v>6</v>
      </c>
      <c r="B9" s="22">
        <f>'Signal Tracker'!B9</f>
        <v/>
      </c>
      <c r="C9" s="23">
        <f>'Signal Tracker'!Z9</f>
        <v/>
      </c>
      <c r="D9" s="22">
        <f>'Signal Tracker'!AA9</f>
        <v/>
      </c>
    </row>
    <row r="10">
      <c r="A10" s="22" t="n">
        <v>7</v>
      </c>
      <c r="B10" s="22">
        <f>'Signal Tracker'!B10</f>
        <v/>
      </c>
      <c r="C10" s="23">
        <f>'Signal Tracker'!Z10</f>
        <v/>
      </c>
      <c r="D10" s="22">
        <f>'Signal Tracker'!AA10</f>
        <v/>
      </c>
      <c r="F10" s="16" t="inlineStr">
        <is>
          <t>Day (chart)</t>
        </is>
      </c>
      <c r="G10" s="16" t="inlineStr">
        <is>
          <t>SSI (chart)</t>
        </is>
      </c>
    </row>
    <row r="11">
      <c r="A11" s="22" t="n">
        <v>8</v>
      </c>
      <c r="B11" s="22">
        <f>'Signal Tracker'!B11</f>
        <v/>
      </c>
      <c r="C11" s="23">
        <f>'Signal Tracker'!Z11</f>
        <v/>
      </c>
      <c r="D11" s="22">
        <f>'Signal Tracker'!AA11</f>
        <v/>
      </c>
      <c r="F11" s="16" t="n">
        <v>0</v>
      </c>
      <c r="G11" s="28" t="n">
        <v>0.3466</v>
      </c>
    </row>
    <row r="12">
      <c r="A12" s="22" t="n">
        <v>9</v>
      </c>
      <c r="B12" s="22">
        <f>'Signal Tracker'!B12</f>
        <v/>
      </c>
      <c r="C12" s="23">
        <f>'Signal Tracker'!Z12</f>
        <v/>
      </c>
      <c r="D12" s="22">
        <f>'Signal Tracker'!AA12</f>
        <v/>
      </c>
      <c r="F12" s="16" t="n">
        <v>14</v>
      </c>
      <c r="G12" s="28" t="n">
        <v>0.3919</v>
      </c>
    </row>
    <row r="13">
      <c r="A13" s="22" t="n">
        <v>10</v>
      </c>
      <c r="B13" s="22">
        <f>'Signal Tracker'!B13</f>
        <v/>
      </c>
      <c r="C13" s="23">
        <f>'Signal Tracker'!Z13</f>
        <v/>
      </c>
      <c r="D13" s="22">
        <f>'Signal Tracker'!AA13</f>
        <v/>
      </c>
      <c r="F13" s="16" t="n">
        <v>28</v>
      </c>
      <c r="G13" s="28" t="n">
        <v>0.5219</v>
      </c>
    </row>
    <row r="14">
      <c r="A14" s="22" t="n">
        <v>11</v>
      </c>
      <c r="B14" s="22">
        <f>'Signal Tracker'!B14</f>
        <v/>
      </c>
      <c r="C14" s="23">
        <f>'Signal Tracker'!Z14</f>
        <v/>
      </c>
      <c r="D14" s="22">
        <f>'Signal Tracker'!AA14</f>
        <v/>
      </c>
      <c r="F14" s="16" t="n">
        <v>42</v>
      </c>
      <c r="G14" s="28" t="n">
        <v>0.7682</v>
      </c>
    </row>
    <row r="15">
      <c r="A15" s="22" t="n">
        <v>12</v>
      </c>
      <c r="B15" s="22">
        <f>'Signal Tracker'!B15</f>
        <v/>
      </c>
      <c r="C15" s="23">
        <f>'Signal Tracker'!Z15</f>
        <v/>
      </c>
      <c r="D15" s="22">
        <f>'Signal Tracker'!AA15</f>
        <v/>
      </c>
      <c r="F15" s="16" t="n">
        <v>49</v>
      </c>
      <c r="G15" s="28" t="n">
        <v>0.9129</v>
      </c>
    </row>
    <row r="16">
      <c r="A16" s="22" t="n">
        <v>13</v>
      </c>
      <c r="B16" s="22">
        <f>'Signal Tracker'!B16</f>
        <v/>
      </c>
      <c r="C16" s="23">
        <f>'Signal Tracker'!Z16</f>
        <v/>
      </c>
      <c r="D16" s="22">
        <f>'Signal Tracker'!AA16</f>
        <v/>
      </c>
      <c r="F16" s="16" t="n">
        <v>63</v>
      </c>
      <c r="G16" s="28" t="n">
        <v>1.3338</v>
      </c>
    </row>
    <row r="17">
      <c r="A17" s="22" t="n">
        <v>14</v>
      </c>
      <c r="B17" s="22">
        <f>'Signal Tracker'!B17</f>
        <v/>
      </c>
      <c r="C17" s="23">
        <f>'Signal Tracker'!Z17</f>
        <v/>
      </c>
      <c r="D17" s="22">
        <f>'Signal Tracker'!AA17</f>
        <v/>
      </c>
      <c r="F17" s="16" t="n">
        <v>70</v>
      </c>
      <c r="G17" s="28" t="n">
        <v>1.5089</v>
      </c>
    </row>
    <row r="18">
      <c r="A18" s="22" t="n">
        <v>15</v>
      </c>
      <c r="B18" s="22">
        <f>'Signal Tracker'!B18</f>
        <v/>
      </c>
      <c r="C18" s="23">
        <f>'Signal Tracker'!Z18</f>
        <v/>
      </c>
      <c r="D18" s="22">
        <f>'Signal Tracker'!AA18</f>
        <v/>
      </c>
      <c r="F18" s="16" t="n">
        <v>77</v>
      </c>
      <c r="G18" s="28" t="n">
        <v>1.7516</v>
      </c>
    </row>
    <row r="19">
      <c r="A19" s="22" t="n">
        <v>16</v>
      </c>
      <c r="B19" s="22">
        <f>'Signal Tracker'!B19</f>
        <v/>
      </c>
      <c r="C19" s="23">
        <f>'Signal Tracker'!Z19</f>
        <v/>
      </c>
      <c r="D19" s="22">
        <f>'Signal Tracker'!AA19</f>
        <v/>
      </c>
      <c r="F19" s="16" t="n">
        <v>91</v>
      </c>
      <c r="G19" s="28" t="n">
        <v>1.9027</v>
      </c>
    </row>
    <row r="20">
      <c r="A20" s="22" t="n">
        <v>17</v>
      </c>
      <c r="B20" s="22">
        <f>'Signal Tracker'!B20</f>
        <v/>
      </c>
      <c r="C20" s="23">
        <f>'Signal Tracker'!Z20</f>
        <v/>
      </c>
      <c r="D20" s="22">
        <f>'Signal Tracker'!AA20</f>
        <v/>
      </c>
      <c r="F20" s="16" t="n">
        <v>98</v>
      </c>
      <c r="G20" s="28" t="n">
        <v>2.1409</v>
      </c>
    </row>
    <row r="21">
      <c r="A21" s="22" t="n">
        <v>18</v>
      </c>
      <c r="B21" s="22">
        <f>'Signal Tracker'!B21</f>
        <v/>
      </c>
      <c r="C21" s="23">
        <f>'Signal Tracker'!Z21</f>
        <v/>
      </c>
      <c r="D21" s="22">
        <f>'Signal Tracker'!AA21</f>
        <v/>
      </c>
      <c r="F21" s="16" t="n">
        <v>105</v>
      </c>
      <c r="G21" s="28" t="n">
        <v>2.3214</v>
      </c>
    </row>
    <row r="22">
      <c r="A22" s="22" t="n">
        <v>19</v>
      </c>
      <c r="B22" s="22">
        <f>'Signal Tracker'!B22</f>
        <v/>
      </c>
      <c r="C22" s="23">
        <f>'Signal Tracker'!Z22</f>
        <v/>
      </c>
      <c r="D22" s="22">
        <f>'Signal Tracker'!AA22</f>
        <v/>
      </c>
      <c r="F22" s="16" t="n">
        <v>112</v>
      </c>
      <c r="G22" s="28" t="n">
        <v>2.737</v>
      </c>
    </row>
    <row r="23">
      <c r="A23" s="22" t="n">
        <v>20</v>
      </c>
      <c r="B23" s="22">
        <f>'Signal Tracker'!B23</f>
        <v/>
      </c>
      <c r="C23" s="23">
        <f>'Signal Tracker'!Z23</f>
        <v/>
      </c>
      <c r="D23" s="22">
        <f>'Signal Tracker'!AA23</f>
        <v/>
      </c>
      <c r="F23" s="16" t="n">
        <v>119</v>
      </c>
      <c r="G23" s="28" t="n">
        <v>3.1138</v>
      </c>
    </row>
    <row r="24">
      <c r="A24" s="22" t="n">
        <v>21</v>
      </c>
      <c r="B24" s="22">
        <f>'Signal Tracker'!B24</f>
        <v/>
      </c>
      <c r="C24" s="23">
        <f>'Signal Tracker'!Z24</f>
        <v/>
      </c>
      <c r="D24" s="22">
        <f>'Signal Tracker'!AA24</f>
        <v/>
      </c>
      <c r="F24" s="16" t="n">
        <v>133</v>
      </c>
      <c r="G24" s="28" t="n">
        <v>3.2842</v>
      </c>
    </row>
    <row r="25">
      <c r="A25" s="22" t="n">
        <v>22</v>
      </c>
      <c r="B25" s="22">
        <f>'Signal Tracker'!B25</f>
        <v/>
      </c>
      <c r="C25" s="23">
        <f>'Signal Tracker'!Z25</f>
        <v/>
      </c>
      <c r="D25" s="22">
        <f>'Signal Tracker'!AA25</f>
        <v/>
      </c>
      <c r="F25" s="16" t="n">
        <v>140</v>
      </c>
      <c r="G25" s="28" t="n">
        <v>3.3085</v>
      </c>
    </row>
    <row r="26">
      <c r="A26" s="22" t="n">
        <v>23</v>
      </c>
      <c r="B26" s="22">
        <f>'Signal Tracker'!B26</f>
        <v/>
      </c>
      <c r="C26" s="23">
        <f>'Signal Tracker'!Z26</f>
        <v/>
      </c>
      <c r="D26" s="22">
        <f>'Signal Tracker'!AA26</f>
        <v/>
      </c>
      <c r="F26" s="16" t="n">
        <v>147</v>
      </c>
      <c r="G26" s="28" t="n">
        <v>3.1965</v>
      </c>
    </row>
    <row r="27">
      <c r="A27" s="22" t="n">
        <v>24</v>
      </c>
      <c r="B27" s="22">
        <f>'Signal Tracker'!B27</f>
        <v/>
      </c>
      <c r="C27" s="23">
        <f>'Signal Tracker'!Z27</f>
        <v/>
      </c>
      <c r="D27" s="22">
        <f>'Signal Tracker'!AA27</f>
        <v/>
      </c>
      <c r="F27" s="16" t="n">
        <v>154</v>
      </c>
      <c r="G27" s="28" t="n">
        <v>2.9886</v>
      </c>
    </row>
    <row r="28">
      <c r="A28" s="22" t="n">
        <v>25</v>
      </c>
      <c r="B28" s="22">
        <f>'Signal Tracker'!B28</f>
        <v/>
      </c>
      <c r="C28" s="23">
        <f>'Signal Tracker'!Z28</f>
        <v/>
      </c>
      <c r="D28" s="22">
        <f>'Signal Tracker'!AA28</f>
        <v/>
      </c>
      <c r="F28" s="16" t="n">
        <v>161</v>
      </c>
      <c r="G28" s="28" t="n">
        <v>2.7157</v>
      </c>
    </row>
    <row r="29">
      <c r="A29" s="22" t="n">
        <v>26</v>
      </c>
      <c r="B29" s="22">
        <f>'Signal Tracker'!B29</f>
        <v/>
      </c>
      <c r="C29" s="23">
        <f>'Signal Tracker'!Z29</f>
        <v/>
      </c>
      <c r="D29" s="22">
        <f>'Signal Tracker'!AA29</f>
        <v/>
      </c>
      <c r="F29" s="16" t="n">
        <v>168</v>
      </c>
      <c r="G29" s="28" t="n">
        <v>2.5159</v>
      </c>
    </row>
    <row r="30">
      <c r="A30" s="22" t="n">
        <v>27</v>
      </c>
      <c r="B30" s="22">
        <f>'Signal Tracker'!B30</f>
        <v/>
      </c>
      <c r="C30" s="23">
        <f>'Signal Tracker'!Z30</f>
        <v/>
      </c>
      <c r="D30" s="22">
        <f>'Signal Tracker'!AA30</f>
        <v/>
      </c>
      <c r="F30" s="16" t="n">
        <v>182</v>
      </c>
      <c r="G30" s="28" t="n">
        <v>2.7233</v>
      </c>
    </row>
    <row r="31">
      <c r="A31" s="22" t="n">
        <v>28</v>
      </c>
      <c r="B31" s="22">
        <f>'Signal Tracker'!B31</f>
        <v/>
      </c>
      <c r="C31" s="23">
        <f>'Signal Tracker'!Z31</f>
        <v/>
      </c>
      <c r="D31" s="22">
        <f>'Signal Tracker'!AA31</f>
        <v/>
      </c>
      <c r="F31" s="16" t="n">
        <v>189</v>
      </c>
      <c r="G31" s="28" t="n">
        <v>2.6889</v>
      </c>
    </row>
    <row r="32">
      <c r="A32" s="22" t="n">
        <v>29</v>
      </c>
      <c r="B32" s="22">
        <f>'Signal Tracker'!B32</f>
        <v/>
      </c>
      <c r="C32" s="23">
        <f>'Signal Tracker'!Z32</f>
        <v/>
      </c>
      <c r="D32" s="22">
        <f>'Signal Tracker'!AA32</f>
        <v/>
      </c>
      <c r="F32" s="16" t="n">
        <v>196</v>
      </c>
      <c r="G32" s="28" t="n">
        <v>2.5124</v>
      </c>
    </row>
    <row r="33">
      <c r="A33" s="22" t="n">
        <v>30</v>
      </c>
      <c r="B33" s="22">
        <f>'Signal Tracker'!B33</f>
        <v/>
      </c>
      <c r="C33" s="23">
        <f>'Signal Tracker'!Z33</f>
        <v/>
      </c>
      <c r="D33" s="22">
        <f>'Signal Tracker'!AA33</f>
        <v/>
      </c>
      <c r="F33" s="16" t="n">
        <v>210</v>
      </c>
      <c r="G33" s="28" t="n">
        <v>2.0411</v>
      </c>
    </row>
    <row r="34">
      <c r="F34" s="16" t="n">
        <v>224</v>
      </c>
      <c r="G34" s="28" t="n">
        <v>1.7942</v>
      </c>
    </row>
    <row r="35">
      <c r="F35" s="16" t="n">
        <v>238</v>
      </c>
      <c r="G35" s="28" t="n">
        <v>1.4163</v>
      </c>
    </row>
    <row r="36">
      <c r="F36" s="16" t="n">
        <v>252</v>
      </c>
      <c r="G36" s="28" t="n">
        <v>1.2125</v>
      </c>
    </row>
    <row r="38">
      <c r="F38" t="n">
        <v>0</v>
      </c>
      <c r="G38" t="n">
        <v>0.5</v>
      </c>
    </row>
    <row r="39">
      <c r="F39" t="n">
        <v>270</v>
      </c>
      <c r="G39" t="n">
        <v>0.5</v>
      </c>
    </row>
    <row r="40">
      <c r="F40" t="n">
        <v>0</v>
      </c>
      <c r="G40" t="n">
        <v>1.5</v>
      </c>
    </row>
    <row r="41">
      <c r="F41" t="n">
        <v>270</v>
      </c>
      <c r="G41" t="n">
        <v>1.5</v>
      </c>
    </row>
    <row r="42">
      <c r="F42" t="n">
        <v>0</v>
      </c>
      <c r="G42" t="n">
        <v>2.5</v>
      </c>
    </row>
    <row r="43">
      <c r="F43" t="n">
        <v>270</v>
      </c>
      <c r="G43" t="n">
        <v>2.5</v>
      </c>
    </row>
    <row r="65">
      <c r="A65" s="16" t="inlineStr">
        <is>
          <t>Copyright © 2026. Maurice Codourey and Emmanuel A. Gonzalez. All rights reserved. Version 0.1, April 5, 2026.</t>
        </is>
      </c>
    </row>
  </sheetData>
  <mergeCells count="2">
    <mergeCell ref="A1:D1"/>
    <mergeCell ref="A65:H65"/>
  </mergeCells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2026-04-06T02:13:59Z</dcterms:created>
  <dcterms:modified xmlns:dcterms="http://purl.org/dc/terms/" xmlns:xsi="http://www.w3.org/2001/XMLSchema-instance" xsi:type="dcterms:W3CDTF">2026-06-28T20:54:30Z</dcterms:modified>
  <cp:lastModifiedBy>Emmanuel Gonzalez</cp:lastModifiedBy>
  <cp:revision>1</cp:revision>
</cp:coreProperties>
</file>